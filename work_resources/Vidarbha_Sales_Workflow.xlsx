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B7E255BC-32D0-45D6-80E2-D8527559F20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90-Day Roadmap" sheetId="2" r:id="rId2"/>
    <sheet name="Target Accounts" sheetId="3" r:id="rId3"/>
    <sheet name="Activity Tracker" sheetId="4" r:id="rId4"/>
    <sheet name="Revenue Targets" sheetId="5" r:id="rId5"/>
    <sheet name="Pipeline" sheetId="6" r:id="rId6"/>
    <sheet name="Weekly Report" sheetId="7" r:id="rId7"/>
    <sheet name="Monthly Report" sheetId="8" r:id="rId8"/>
    <sheet name="KPI Dashboard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9" l="1"/>
  <c r="B33" i="8"/>
  <c r="B28" i="8"/>
  <c r="D22" i="8"/>
  <c r="D21" i="8"/>
  <c r="D20" i="8"/>
  <c r="D19" i="8"/>
  <c r="D18" i="8"/>
  <c r="D17" i="8"/>
  <c r="F13" i="8"/>
  <c r="E13" i="8"/>
  <c r="C13" i="8"/>
  <c r="B13" i="8"/>
  <c r="G12" i="8"/>
  <c r="D12" i="8"/>
  <c r="G11" i="8"/>
  <c r="D11" i="8"/>
  <c r="G10" i="8"/>
  <c r="D10" i="8"/>
  <c r="G9" i="8"/>
  <c r="D9" i="8"/>
  <c r="G8" i="8"/>
  <c r="G13" i="8" s="1"/>
  <c r="D8" i="8"/>
  <c r="D13" i="8" s="1"/>
  <c r="D12" i="7"/>
  <c r="D11" i="7"/>
  <c r="D10" i="7"/>
  <c r="D9" i="7"/>
  <c r="D8" i="7"/>
  <c r="D7" i="7"/>
  <c r="D109" i="6"/>
  <c r="C109" i="6"/>
  <c r="B109" i="6"/>
  <c r="D108" i="6"/>
  <c r="C108" i="6"/>
  <c r="B108" i="6"/>
  <c r="D107" i="6"/>
  <c r="C107" i="6"/>
  <c r="B107" i="6"/>
  <c r="C106" i="6"/>
  <c r="B106" i="6"/>
  <c r="C105" i="6"/>
  <c r="B105" i="6"/>
  <c r="C104" i="6"/>
  <c r="B104" i="6"/>
  <c r="C103" i="6"/>
  <c r="B111" i="6" s="1"/>
  <c r="B103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D106" i="6" s="1"/>
  <c r="H7" i="6"/>
  <c r="H6" i="6"/>
  <c r="D103" i="6" s="1"/>
  <c r="H5" i="6"/>
  <c r="D105" i="6" s="1"/>
  <c r="H4" i="6"/>
  <c r="D104" i="6" s="1"/>
  <c r="M19" i="5"/>
  <c r="L19" i="5"/>
  <c r="K19" i="5"/>
  <c r="J19" i="5"/>
  <c r="I19" i="5"/>
  <c r="H19" i="5"/>
  <c r="G19" i="5"/>
  <c r="F19" i="5"/>
  <c r="E19" i="5"/>
  <c r="D19" i="5"/>
  <c r="C19" i="5"/>
  <c r="B19" i="5"/>
  <c r="G9" i="5"/>
  <c r="E9" i="5"/>
  <c r="D9" i="5"/>
  <c r="C9" i="5"/>
  <c r="B9" i="5"/>
  <c r="F8" i="5"/>
  <c r="H8" i="5" s="1"/>
  <c r="F7" i="5"/>
  <c r="H7" i="5" s="1"/>
  <c r="F6" i="5"/>
  <c r="H6" i="5" s="1"/>
  <c r="F5" i="5"/>
  <c r="H5" i="5" s="1"/>
  <c r="F4" i="5"/>
  <c r="B108" i="4"/>
  <c r="D108" i="4" s="1"/>
  <c r="B107" i="4"/>
  <c r="D107" i="4" s="1"/>
  <c r="B106" i="4"/>
  <c r="D106" i="4" s="1"/>
  <c r="B105" i="4"/>
  <c r="D105" i="4" s="1"/>
  <c r="B104" i="4"/>
  <c r="D104" i="4" s="1"/>
  <c r="B103" i="4"/>
  <c r="D103" i="4" s="1"/>
  <c r="G18" i="1"/>
  <c r="D17" i="1"/>
  <c r="D16" i="1"/>
  <c r="D15" i="1"/>
  <c r="D14" i="1"/>
  <c r="D13" i="1"/>
  <c r="F9" i="5" l="1"/>
  <c r="H4" i="5"/>
  <c r="H9" i="5" s="1"/>
  <c r="B112" i="6"/>
</calcChain>
</file>

<file path=xl/sharedStrings.xml><?xml version="1.0" encoding="utf-8"?>
<sst xmlns="http://schemas.openxmlformats.org/spreadsheetml/2006/main" count="676" uniqueCount="304">
  <si>
    <t>VIDARBHA SALES MANAGER - WORKFLOW DASHBOARD</t>
  </si>
  <si>
    <t>Unicircuit Engineering Services LLP</t>
  </si>
  <si>
    <t>Sales Manager Details</t>
  </si>
  <si>
    <t>Name:</t>
  </si>
  <si>
    <t>Territory:</t>
  </si>
  <si>
    <t>Vidarbha Region, Maharashtra</t>
  </si>
  <si>
    <t>Primary City:</t>
  </si>
  <si>
    <t>Nagpur</t>
  </si>
  <si>
    <t>Start Date:</t>
  </si>
  <si>
    <t>Reporting To:</t>
  </si>
  <si>
    <t>National Sales Manager</t>
  </si>
  <si>
    <t>Key Performance Summary</t>
  </si>
  <si>
    <t>Annual Revenue Target</t>
  </si>
  <si>
    <t>Metric</t>
  </si>
  <si>
    <t>Q1 Target</t>
  </si>
  <si>
    <t>Q1 Actual</t>
  </si>
  <si>
    <t>Status</t>
  </si>
  <si>
    <t>Service Domain</t>
  </si>
  <si>
    <t>Target (₹L)</t>
  </si>
  <si>
    <t>Revenue (₹L)</t>
  </si>
  <si>
    <t>Physical Security &amp; Surveillance</t>
  </si>
  <si>
    <t>New Clients</t>
  </si>
  <si>
    <t>Smart Building Ecosystem</t>
  </si>
  <si>
    <t>Meetings</t>
  </si>
  <si>
    <t>Industrial Asset Management</t>
  </si>
  <si>
    <t>Proposals Submitted</t>
  </si>
  <si>
    <t>Digital Infrastructure</t>
  </si>
  <si>
    <t>Projects Won</t>
  </si>
  <si>
    <t>Professional Services</t>
  </si>
  <si>
    <t>TOTAL</t>
  </si>
  <si>
    <t>Quick Links to Worksheets</t>
  </si>
  <si>
    <t>• 90-Day Roadmap - Detailed weekly plan</t>
  </si>
  <si>
    <t>• Target Accounts - Complete database of prospects</t>
  </si>
  <si>
    <t>• Activity Tracker - Daily/weekly activity log</t>
  </si>
  <si>
    <t>• Pipeline - Opportunity tracking and forecasting</t>
  </si>
  <si>
    <t>• Weekly Report - Standardized weekly updates</t>
  </si>
  <si>
    <t>• Monthly Report - Comprehensive monthly review</t>
  </si>
  <si>
    <t>90-DAY DEPLOYMENT ROADMAP - VIDARBHA REGION</t>
  </si>
  <si>
    <t>Month 1: Foundation &amp; Market Intelligence</t>
  </si>
  <si>
    <t>Week</t>
  </si>
  <si>
    <t>Focus Area</t>
  </si>
  <si>
    <t>Key Activities</t>
  </si>
  <si>
    <t>Deliverables</t>
  </si>
  <si>
    <t>Target</t>
  </si>
  <si>
    <t>Actual</t>
  </si>
  <si>
    <t>Week 1-2</t>
  </si>
  <si>
    <t>Onboarding &amp; Product Mastery</t>
  </si>
  <si>
    <t>Complete training on all 21+ solutions
Study case studies
CRM training
Tender response protocols
Maharashtra government procurement process</t>
  </si>
  <si>
    <t>Training completion certificate
Product knowledge assessment (80%+)
Maharashtra tender process documentation</t>
  </si>
  <si>
    <t>Complete</t>
  </si>
  <si>
    <t>Week 3-4</t>
  </si>
  <si>
    <t>Territory Mapping &amp; Research</t>
  </si>
  <si>
    <t>Create target account database (150+ orgs)
Nagpur, Amravati, Akola, Chandrapur focus
Identify decision makers
Map competitive landscape
Research Nagpur Smart City, MIHAN SEZ
GeM portal and Maharashtra e-tender registration</t>
  </si>
  <si>
    <t>150 accounts in CRM
20 meetings scheduled
Competitor analysis report
Smart city opportunity map</t>
  </si>
  <si>
    <t>150 accounts
20 meetings
50 calls</t>
  </si>
  <si>
    <t>Month 2: Market Penetration &amp; Relationship Building</t>
  </si>
  <si>
    <t>Week 5-6</t>
  </si>
  <si>
    <t>Direct Client Engagement</t>
  </si>
  <si>
    <t>30 face-to-face meetings
10 technical presentations
2 vendor meets (Nagpur/Mumbai)
Identify 15 opportunities (₹5L+ each)
VNIT, AIIMS, WCL, MSEDCL meetings</t>
  </si>
  <si>
    <t>15 qualified opportunities
30 meeting reports in CRM
2 vendor meet summaries
Government contact list</t>
  </si>
  <si>
    <t>30 meetings
15 opps
₹75L pipeline</t>
  </si>
  <si>
    <t>Week 7-8</t>
  </si>
  <si>
    <t>Channel Development</t>
  </si>
  <si>
    <t>Identify channel partners in Nagpur
10 partner meetings
Establish consultant relationships
MIHAN SEZ integrator mapping
Create partner materials</t>
  </si>
  <si>
    <t>3 MOUs in discussion
Partner database
Commission structure
MIHAN channel map</t>
  </si>
  <si>
    <t>10 meetings
3 MOUs</t>
  </si>
  <si>
    <t>Month 3: Pipeline Acceleration &amp; First Wins</t>
  </si>
  <si>
    <t>Week 9-10</t>
  </si>
  <si>
    <t>Proposal &amp; Tender Management</t>
  </si>
  <si>
    <t>Submit 10 proposals
Respond to 3 government tenders
Conduct 5 product demos
Aggressive follow-up
Nagpur Smart City proposals</t>
  </si>
  <si>
    <t>10 proposals submitted
3 tender responses
5 demo reports
Smart city engagement plan</t>
  </si>
  <si>
    <t>10 proposals
3 tenders
5 demos</t>
  </si>
  <si>
    <t>Week 11-12</t>
  </si>
  <si>
    <t>Closing &amp; Expansion</t>
  </si>
  <si>
    <t>Close 2 projects (₹10-15L)
Finalize 1-2 channel partners
20 new opportunities for Q2
1 seminar/workshop in Nagpur (30+ attendees)</t>
  </si>
  <si>
    <t>₹10-15L revenue
2 partners onboarded
25 active opportunities (₹1.5Cr+)
1 testimonial</t>
  </si>
  <si>
    <t>2 wins
₹15L revenue
2 partners</t>
  </si>
  <si>
    <t>TARGET ACCOUNTS DATABASE - VIDARBHA REGION, MAHARASHTRA</t>
  </si>
  <si>
    <t>Total Target: 150+ Organizations | Primary Cities: Nagpur, Amravati, Akola, Chandrapur, Wardha</t>
  </si>
  <si>
    <t>#</t>
  </si>
  <si>
    <t>Organization Name</t>
  </si>
  <si>
    <t>Sector</t>
  </si>
  <si>
    <t>Location</t>
  </si>
  <si>
    <t>Decision Maker</t>
  </si>
  <si>
    <t>Contact</t>
  </si>
  <si>
    <t>Email</t>
  </si>
  <si>
    <t>Recommended Solution</t>
  </si>
  <si>
    <t>Priority</t>
  </si>
  <si>
    <t>Last Contact</t>
  </si>
  <si>
    <t>Next Action</t>
  </si>
  <si>
    <t>MSEDCL Nagpur Circle Office</t>
  </si>
  <si>
    <t>PSU</t>
  </si>
  <si>
    <t>AI Surveillance, Smart Building Security, Energy Management</t>
  </si>
  <si>
    <t>A</t>
  </si>
  <si>
    <t>To Contact</t>
  </si>
  <si>
    <t>Schedule meeting</t>
  </si>
  <si>
    <t>Western Coalfields Limited (WCL)</t>
  </si>
  <si>
    <t>PPE Detection, Industrial Safety, Vehicle Inspection, Asset Management</t>
  </si>
  <si>
    <t>Research contact</t>
  </si>
  <si>
    <t>NTPC Koradi Thermal Power Station</t>
  </si>
  <si>
    <t>Industrial Temperature Monitoring, Safety Systems, Thermal Imaging</t>
  </si>
  <si>
    <t>NTPC Khaperkheda Thermal Power Station</t>
  </si>
  <si>
    <t>Chandrapur</t>
  </si>
  <si>
    <t>Industrial Safety, Asset Management, Surveillance</t>
  </si>
  <si>
    <t>VNIT Nagpur (Visvesvaraya National Institute)</t>
  </si>
  <si>
    <t>Educational</t>
  </si>
  <si>
    <t>Campus Surveillance, People Counting, Smart Automation, Network Infrastructure</t>
  </si>
  <si>
    <t>AIIMS Nagpur</t>
  </si>
  <si>
    <t>Smart Building Security, Access Control, Surveillance, Temperature Monitoring</t>
  </si>
  <si>
    <t>Nagpur Smart City Development Corporation</t>
  </si>
  <si>
    <t>Smart City</t>
  </si>
  <si>
    <t>Smart Speed Monitoring, Traffic Management, City Surveillance, IoT Infrastructure</t>
  </si>
  <si>
    <t>Government liaison</t>
  </si>
  <si>
    <t>MIHAN SEZ (Multimodal International Hub Airport)</t>
  </si>
  <si>
    <t>Commercial</t>
  </si>
  <si>
    <t>Perimeter Security, Smart Building Automation, Access Control, Network Infrastructure</t>
  </si>
  <si>
    <t>Maharashtra Police - Nagpur Commissionerate</t>
  </si>
  <si>
    <t>Government</t>
  </si>
  <si>
    <t>AI-Powered CCTV, Video Analytics, Integrated Monitoring, Command Center</t>
  </si>
  <si>
    <t>Nagpur Municipal Corporation (NMC)</t>
  </si>
  <si>
    <t>Smart City Solutions, Traffic Management, Public Safety Surveillance</t>
  </si>
  <si>
    <t>Rashtriya Ispat Nigam Limited (RINL) - Chandrapur</t>
  </si>
  <si>
    <t>Industrial Safety, Asset Management, Thermal Monitoring</t>
  </si>
  <si>
    <t>B</t>
  </si>
  <si>
    <t>Ballarpur Industries Ltd (BILT)</t>
  </si>
  <si>
    <t>Industrial</t>
  </si>
  <si>
    <t>Industrial Surveillance, Safety Systems, Asset Tracking</t>
  </si>
  <si>
    <t>Reliance Power - Butibori Plant</t>
  </si>
  <si>
    <t>Industrial Safety, Thermal Monitoring, Perimeter Security</t>
  </si>
  <si>
    <t>Ultratech Cement - Awarpur Plant</t>
  </si>
  <si>
    <t>PPE Detection, Safety Monitoring, Industrial Surveillance</t>
  </si>
  <si>
    <t>Government Medical College Nagpur</t>
  </si>
  <si>
    <t>Smart Building Security, Access Control, Temperature Monitoring</t>
  </si>
  <si>
    <t>RTM Nagpur University</t>
  </si>
  <si>
    <t>Campus Security, Smart Building Solutions, Network Infrastructure</t>
  </si>
  <si>
    <t>IIIT Nagpur</t>
  </si>
  <si>
    <t>Smart Campus Solutions, Network Infrastructure, Security Systems</t>
  </si>
  <si>
    <t>Empress City Mall</t>
  </si>
  <si>
    <t>People Counting, Surveillance, Access Control, Smart Automation</t>
  </si>
  <si>
    <t>Radisson Blu Hotel Nagpur</t>
  </si>
  <si>
    <t>Smart Building Automation, Access Control, Surveillance</t>
  </si>
  <si>
    <t>C</t>
  </si>
  <si>
    <t>TCS Nagpur IT Park</t>
  </si>
  <si>
    <t>Smart Building Solutions, Network Infrastructure, Security Systems</t>
  </si>
  <si>
    <t>Instructions:</t>
  </si>
  <si>
    <t>Priority: A = High Value/High Probability, B = Medium, C = Low</t>
  </si>
  <si>
    <t>Status Options: To Contact, Initial Contact, In Discussion, Proposal Sent, Won, Lost</t>
  </si>
  <si>
    <t>Update Last Contact date after every interaction</t>
  </si>
  <si>
    <t>Coverage: Nagpur (Primary), Amravati, Akola, Chandrapur, Wardha, Yavatmal, Gondia</t>
  </si>
  <si>
    <t>DAILY/WEEKLY ACTIVITY TRACKER - VIDARBHA</t>
  </si>
  <si>
    <t>Week of:</t>
  </si>
  <si>
    <t>2026-03-11</t>
  </si>
  <si>
    <t>Date</t>
  </si>
  <si>
    <t>Activity Type</t>
  </si>
  <si>
    <t>Organization</t>
  </si>
  <si>
    <t>Contact Person</t>
  </si>
  <si>
    <t>Outcome</t>
  </si>
  <si>
    <t>Follow-up Required</t>
  </si>
  <si>
    <t>Follow-up Date</t>
  </si>
  <si>
    <t>Notes</t>
  </si>
  <si>
    <t>CRM Updated</t>
  </si>
  <si>
    <t>Activity Type Options:</t>
  </si>
  <si>
    <t>Yes/No</t>
  </si>
  <si>
    <t>Meeting</t>
  </si>
  <si>
    <t>Call</t>
  </si>
  <si>
    <t>Demo</t>
  </si>
  <si>
    <t>Proposal</t>
  </si>
  <si>
    <t>Tender</t>
  </si>
  <si>
    <t>Event</t>
  </si>
  <si>
    <t>Other</t>
  </si>
  <si>
    <t>Weekly Summary</t>
  </si>
  <si>
    <t>Count This Week</t>
  </si>
  <si>
    <t>Variance</t>
  </si>
  <si>
    <t>Client Meetings</t>
  </si>
  <si>
    <t>Phone Calls</t>
  </si>
  <si>
    <t>Emails Sent</t>
  </si>
  <si>
    <t>Demos/Presentations</t>
  </si>
  <si>
    <t>Events Attended</t>
  </si>
  <si>
    <t>ANNUAL REVENUE TARGETS BY SERVICE DOMAIN - VIDARBHA</t>
  </si>
  <si>
    <t>Q2 Target</t>
  </si>
  <si>
    <t>Q3 Target</t>
  </si>
  <si>
    <t>Q4 Target</t>
  </si>
  <si>
    <t>Annual Target</t>
  </si>
  <si>
    <t>Actual YTD</t>
  </si>
  <si>
    <t>Digital Infrastructure &amp; Connectivity</t>
  </si>
  <si>
    <t>Professional Services (ELV/Manpower)</t>
  </si>
  <si>
    <t>All values in ₹ Lakhs</t>
  </si>
  <si>
    <t>MONTHLY REVENUE TRACKING</t>
  </si>
  <si>
    <t>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</si>
  <si>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</si>
  <si>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</si>
  <si>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</si>
  <si>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</si>
  <si>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</si>
  <si>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</si>
  <si>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</si>
  <si>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</si>
  <si>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</si>
  <si>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</si>
  <si>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</si>
  <si>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</si>
  <si>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SALES PIPELINE MANAGEMENT - VIDARBHA</t>
  </si>
  <si>
    <t>Opp ID</t>
  </si>
  <si>
    <t>Solution Category</t>
  </si>
  <si>
    <t>Description</t>
  </si>
  <si>
    <t>Estimated Value (₹L)</t>
  </si>
  <si>
    <t>Probability %</t>
  </si>
  <si>
    <t>Weighted Value</t>
  </si>
  <si>
    <t>Stage</t>
  </si>
  <si>
    <t>Owner</t>
  </si>
  <si>
    <t>Created Date</t>
  </si>
  <si>
    <t>Expected Close</t>
  </si>
  <si>
    <t>OPP-001</t>
  </si>
  <si>
    <t>MSEDCL Nagpur</t>
  </si>
  <si>
    <t>Physical Security</t>
  </si>
  <si>
    <t>AI-Powered CCTV &amp; Surveillance System</t>
  </si>
  <si>
    <t>Qualification</t>
  </si>
  <si>
    <t>Sales Mgr</t>
  </si>
  <si>
    <t>Send product brochure</t>
  </si>
  <si>
    <t>OPP-002</t>
  </si>
  <si>
    <t>VNIT Nagpur</t>
  </si>
  <si>
    <t>Smart Building</t>
  </si>
  <si>
    <t>Campus-wide Smart Automation &amp; People Counting</t>
  </si>
  <si>
    <t>Needs Analysis</t>
  </si>
  <si>
    <t>Schedule technical demo</t>
  </si>
  <si>
    <t>OPP-003</t>
  </si>
  <si>
    <t>Nagpur Smart City</t>
  </si>
  <si>
    <t>Traffic Management</t>
  </si>
  <si>
    <t>Smart Speed Monitoring &amp; Traffic System</t>
  </si>
  <si>
    <t>Initial Contact</t>
  </si>
  <si>
    <t>Meeting with Project Director</t>
  </si>
  <si>
    <t>OPP-004</t>
  </si>
  <si>
    <t>WCL HQ</t>
  </si>
  <si>
    <t>Industrial Safety</t>
  </si>
  <si>
    <t>PPE Detection &amp; Safety Monitoring System</t>
  </si>
  <si>
    <t>Site visit scheduled</t>
  </si>
  <si>
    <t>OPP-005</t>
  </si>
  <si>
    <t>MIHAN SEZ</t>
  </si>
  <si>
    <t>Perimeter Security &amp; Access Control</t>
  </si>
  <si>
    <t>Proposal submitted</t>
  </si>
  <si>
    <t>PIPELINE SUMMARY</t>
  </si>
  <si>
    <t>Count</t>
  </si>
  <si>
    <t>Total Value (₹L)</t>
  </si>
  <si>
    <t>Weighted Value (₹L)</t>
  </si>
  <si>
    <t>Negotiation</t>
  </si>
  <si>
    <t>Closed Won</t>
  </si>
  <si>
    <t>Closed Lost</t>
  </si>
  <si>
    <t>TOTAL PIPELINE VALUE</t>
  </si>
  <si>
    <t>WEIGHTED PIPELINE VALUE</t>
  </si>
  <si>
    <t>WEEKLY SALES REPORT - VIDARBHA</t>
  </si>
  <si>
    <t>Week Ending:</t>
  </si>
  <si>
    <t>ACTIVITY SUMMARY</t>
  </si>
  <si>
    <t>Activity</t>
  </si>
  <si>
    <t>Comments</t>
  </si>
  <si>
    <t>Emails</t>
  </si>
  <si>
    <t>Events/Vendor Meets</t>
  </si>
  <si>
    <t>PIPELINE UPDATES</t>
  </si>
  <si>
    <t>New Opportunities Added:</t>
  </si>
  <si>
    <t>Total Pipeline Value (₹L):</t>
  </si>
  <si>
    <t>Weighted Pipeline (₹L):</t>
  </si>
  <si>
    <t>KEY WINS THIS WEEK</t>
  </si>
  <si>
    <t>(List major accomplishments, closed deals, key meetings)</t>
  </si>
  <si>
    <t>CHALLENGES &amp; SUPPORT NEEDED</t>
  </si>
  <si>
    <t>NEXT WEEK PRIORITIES</t>
  </si>
  <si>
    <t>MONTHLY SALES PERFORMANCE REPORT - VIDARBHA</t>
  </si>
  <si>
    <t>Month:</t>
  </si>
  <si>
    <t>Sales Manager:</t>
  </si>
  <si>
    <t>REVENUE PERFORMANCE</t>
  </si>
  <si>
    <t>Monthly Target</t>
  </si>
  <si>
    <t>YTD Target</t>
  </si>
  <si>
    <t>YTD Actual</t>
  </si>
  <si>
    <t>YTD Variance</t>
  </si>
  <si>
    <t>KEY METRICS</t>
  </si>
  <si>
    <t>New Clients Acquired</t>
  </si>
  <si>
    <t>Tender Responses</t>
  </si>
  <si>
    <t>Channel Partners Added</t>
  </si>
  <si>
    <t>PIPELINE ANALYSIS</t>
  </si>
  <si>
    <t>Number of Active Opportunities:</t>
  </si>
  <si>
    <t>Average Deal Size (₹L):</t>
  </si>
  <si>
    <t>WIN/LOSS ANALYSIS</t>
  </si>
  <si>
    <t>Projects Won This Month:</t>
  </si>
  <si>
    <t>Projects Lost This Month:</t>
  </si>
  <si>
    <t>Win Rate (%):</t>
  </si>
  <si>
    <t>TOP 3 WINS</t>
  </si>
  <si>
    <t>KEY CHALLENGES</t>
  </si>
  <si>
    <t>NEXT MONTH ACTION PLAN</t>
  </si>
  <si>
    <t>KEY PERFORMANCE INDICATORS - VIDARBHA TRACKING</t>
  </si>
  <si>
    <t>QUARTERLY KPI SUMMARY</t>
  </si>
  <si>
    <t>KPI</t>
  </si>
  <si>
    <t>Q2 Actual</t>
  </si>
  <si>
    <t>Revenue (₹Cr)</t>
  </si>
  <si>
    <t>Pipeline Value (₹Cr)</t>
  </si>
  <si>
    <t>Channel Partners</t>
  </si>
  <si>
    <t>Vendor Meets Attended</t>
  </si>
  <si>
    <t>MONTHLY ACTIVITY TRACKING</t>
  </si>
  <si>
    <t>Calls</t>
  </si>
  <si>
    <t>Proposals</t>
  </si>
  <si>
    <t>Demos</t>
  </si>
  <si>
    <t>PERFORMANCE INDICATORS</t>
  </si>
  <si>
    <t>Current Quarter Revenue Achievement %</t>
  </si>
  <si>
    <t>YTD Revenue Achievement %</t>
  </si>
  <si>
    <t>Proposal Win Rate %</t>
  </si>
  <si>
    <t>Average Deal Size (₹L)</t>
  </si>
  <si>
    <t>Pipeline Coverage Ratio (Pipeline/Target)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</si>
</sst>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name val="Calibri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0"/>
      <name val="Calibri"/>
    </font>
    <font>
      <b/>
      <sz val="12"/>
      <color rgb="FF2E75B6"/>
      <name val="Calibri"/>
    </font>
    <font>
      <i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F4B084"/>
        <bgColor rgb="FFF4B084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0" fillId="2" borderId="0" xfId="0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5" fillId="2" borderId="0" xfId="0" applyFont="1" applyFill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4" fillId="3" borderId="0" xfId="0" applyFont="1" applyFill="1" applyAlignment="1">
      <alignment horizontal="center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5" fillId="0" borderId="0" xfId="0" applyFont="1"/>
    <xf numFmtId="0" fontId="7" fillId="0" borderId="0" xfId="0" applyFont="1"/>
    <xf numFmtId="0" fontId="0" fillId="6" borderId="0" xfId="0" applyFill="1"/>
    <xf numFmtId="0" fontId="0" fillId="2" borderId="0" xfId="0" applyFill="1" applyAlignment="1">
      <alignment vertical="top" wrapText="1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defaultRowHeight="15"/>
  <cols>
    <col min="1" max="1" width="20" customWidth="1"/>
    <col min="2" max="3" width="15" customWidth="1"/>
    <col min="4" max="4" width="12" customWidth="1"/>
    <col min="5" max="5" width="5" customWidth="1"/>
    <col min="6" max="6" width="30" customWidth="1"/>
    <col min="7" max="8" width="15" customWidth="1"/>
  </cols>
  <sheetData>
    <row r="1" spans="1:8">
      <c r="A1" s="15" t="s">
        <v>0</v>
      </c>
      <c r="B1" s="16"/>
      <c r="C1" s="16"/>
      <c r="D1" s="16"/>
      <c r="E1" s="16"/>
      <c r="F1" s="16"/>
      <c r="G1" s="16"/>
      <c r="H1" s="16"/>
    </row>
    <row r="2" spans="1:8">
      <c r="A2" s="17" t="s">
        <v>1</v>
      </c>
      <c r="B2" s="16"/>
      <c r="C2" s="16"/>
      <c r="D2" s="16"/>
      <c r="E2" s="16"/>
      <c r="F2" s="16"/>
      <c r="G2" s="16"/>
      <c r="H2" s="16"/>
    </row>
    <row r="4" spans="1:8">
      <c r="A4" s="1" t="s">
        <v>2</v>
      </c>
    </row>
    <row r="5" spans="1:8">
      <c r="A5" t="s">
        <v>3</v>
      </c>
      <c r="B5" s="2"/>
    </row>
    <row r="6" spans="1:8">
      <c r="A6" t="s">
        <v>4</v>
      </c>
      <c r="B6" t="s">
        <v>5</v>
      </c>
    </row>
    <row r="7" spans="1:8">
      <c r="A7" t="s">
        <v>6</v>
      </c>
      <c r="B7" t="s">
        <v>7</v>
      </c>
    </row>
    <row r="8" spans="1:8">
      <c r="A8" t="s">
        <v>8</v>
      </c>
      <c r="B8" s="2"/>
    </row>
    <row r="9" spans="1:8">
      <c r="A9" t="s">
        <v>9</v>
      </c>
      <c r="B9" t="s">
        <v>10</v>
      </c>
    </row>
    <row r="11" spans="1:8">
      <c r="A11" s="18" t="s">
        <v>11</v>
      </c>
      <c r="B11" s="16"/>
      <c r="C11" s="16"/>
      <c r="D11" s="16"/>
      <c r="F11" s="18" t="s">
        <v>12</v>
      </c>
      <c r="G11" s="16"/>
      <c r="H11" s="16"/>
    </row>
    <row r="12" spans="1:8">
      <c r="A12" s="3" t="s">
        <v>13</v>
      </c>
      <c r="B12" s="3" t="s">
        <v>14</v>
      </c>
      <c r="C12" s="3" t="s">
        <v>15</v>
      </c>
      <c r="D12" s="3" t="s">
        <v>16</v>
      </c>
      <c r="F12" s="4" t="s">
        <v>17</v>
      </c>
      <c r="G12" s="4" t="s">
        <v>18</v>
      </c>
    </row>
    <row r="13" spans="1:8">
      <c r="A13" t="s">
        <v>19</v>
      </c>
      <c r="B13">
        <v>20</v>
      </c>
      <c r="C13" s="2"/>
      <c r="D13" t="str">
        <f>IF(C13="","Pending",IF(C13&gt;=B13,"On Track","Behind"))</f>
        <v>Pending</v>
      </c>
      <c r="F13" t="s">
        <v>20</v>
      </c>
      <c r="G13">
        <v>50</v>
      </c>
    </row>
    <row r="14" spans="1:8">
      <c r="A14" t="s">
        <v>21</v>
      </c>
      <c r="B14">
        <v>10</v>
      </c>
      <c r="C14" s="2"/>
      <c r="D14" t="str">
        <f>IF(C14="","Pending",IF(C14&gt;=B14,"On Track","Behind"))</f>
        <v>Pending</v>
      </c>
      <c r="F14" t="s">
        <v>22</v>
      </c>
      <c r="G14">
        <v>30</v>
      </c>
    </row>
    <row r="15" spans="1:8">
      <c r="A15" t="s">
        <v>23</v>
      </c>
      <c r="B15">
        <v>60</v>
      </c>
      <c r="C15" s="2"/>
      <c r="D15" t="str">
        <f>IF(C15="","Pending",IF(C15&gt;=B15,"On Track","Behind"))</f>
        <v>Pending</v>
      </c>
      <c r="F15" t="s">
        <v>24</v>
      </c>
      <c r="G15">
        <v>25</v>
      </c>
    </row>
    <row r="16" spans="1:8">
      <c r="A16" t="s">
        <v>25</v>
      </c>
      <c r="B16">
        <v>15</v>
      </c>
      <c r="C16" s="2"/>
      <c r="D16" t="str">
        <f>IF(C16="","Pending",IF(C16&gt;=B16,"On Track","Behind"))</f>
        <v>Pending</v>
      </c>
      <c r="F16" t="s">
        <v>26</v>
      </c>
      <c r="G16">
        <v>15</v>
      </c>
    </row>
    <row r="17" spans="1:7">
      <c r="A17" t="s">
        <v>27</v>
      </c>
      <c r="B17">
        <v>2</v>
      </c>
      <c r="C17" s="2"/>
      <c r="D17" t="str">
        <f>IF(C17="","Pending",IF(C17&gt;=B17,"On Track","Behind"))</f>
        <v>Pending</v>
      </c>
      <c r="F17" t="s">
        <v>28</v>
      </c>
      <c r="G17">
        <v>20</v>
      </c>
    </row>
    <row r="18" spans="1:7">
      <c r="F18" s="5" t="s">
        <v>29</v>
      </c>
      <c r="G18" s="5">
        <f>SUM(G13:G17)</f>
        <v>140</v>
      </c>
    </row>
    <row r="20" spans="1:7">
      <c r="A20" s="1" t="s">
        <v>30</v>
      </c>
    </row>
    <row r="21" spans="1:7">
      <c r="A21" t="s">
        <v>31</v>
      </c>
    </row>
    <row r="22" spans="1:7">
      <c r="A22" t="s">
        <v>32</v>
      </c>
    </row>
    <row r="23" spans="1:7">
      <c r="A23" t="s">
        <v>33</v>
      </c>
    </row>
    <row r="24" spans="1:7">
      <c r="A24" t="s">
        <v>34</v>
      </c>
    </row>
    <row r="25" spans="1:7">
      <c r="A25" t="s">
        <v>35</v>
      </c>
    </row>
    <row r="26" spans="1:7">
      <c r="A26" t="s">
        <v>36</v>
      </c>
    </row>
  </sheetData>
  <mergeCells count="4">
    <mergeCell ref="A11:D11"/>
    <mergeCell ref="F11:H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/>
  </sheetViews>
  <sheetFormatPr defaultRowHeight="15"/>
  <cols>
    <col min="1" max="1" width="12" customWidth="1"/>
    <col min="2" max="2" width="25" customWidth="1"/>
    <col min="3" max="3" width="45" customWidth="1"/>
    <col min="4" max="4" width="35" customWidth="1"/>
    <col min="5" max="5" width="15" customWidth="1"/>
    <col min="6" max="7" width="12" customWidth="1"/>
  </cols>
  <sheetData>
    <row r="1" spans="1:7">
      <c r="A1" s="18" t="s">
        <v>37</v>
      </c>
      <c r="B1" s="16"/>
      <c r="C1" s="16"/>
      <c r="D1" s="16"/>
      <c r="E1" s="16"/>
      <c r="F1" s="16"/>
      <c r="G1" s="16"/>
    </row>
    <row r="3" spans="1:7">
      <c r="A3" s="19" t="s">
        <v>38</v>
      </c>
      <c r="B3" s="16"/>
      <c r="C3" s="16"/>
      <c r="D3" s="16"/>
      <c r="E3" s="16"/>
      <c r="F3" s="16"/>
      <c r="G3" s="16"/>
    </row>
    <row r="4" spans="1:7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16</v>
      </c>
    </row>
    <row r="5" spans="1:7" ht="60" customHeight="1">
      <c r="A5" s="6" t="s">
        <v>45</v>
      </c>
      <c r="B5" s="6" t="s">
        <v>46</v>
      </c>
      <c r="C5" s="6" t="s">
        <v>47</v>
      </c>
      <c r="D5" s="6" t="s">
        <v>48</v>
      </c>
      <c r="E5" s="6" t="s">
        <v>49</v>
      </c>
      <c r="F5" s="7"/>
      <c r="G5" s="6"/>
    </row>
    <row r="6" spans="1:7">
      <c r="A6" s="6"/>
      <c r="B6" s="6"/>
      <c r="C6" s="6"/>
      <c r="D6" s="6"/>
      <c r="E6" s="6"/>
      <c r="F6" s="7"/>
      <c r="G6" s="6"/>
    </row>
    <row r="7" spans="1:7" ht="60" customHeight="1">
      <c r="A7" s="6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7"/>
      <c r="G7" s="6"/>
    </row>
    <row r="8" spans="1:7">
      <c r="A8" s="19" t="s">
        <v>55</v>
      </c>
      <c r="B8" s="16"/>
      <c r="C8" s="16"/>
      <c r="D8" s="16"/>
      <c r="E8" s="16"/>
      <c r="F8" s="16"/>
      <c r="G8" s="16"/>
    </row>
    <row r="9" spans="1:7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44</v>
      </c>
      <c r="G9" s="4" t="s">
        <v>16</v>
      </c>
    </row>
    <row r="10" spans="1:7">
      <c r="A10" s="6" t="s">
        <v>56</v>
      </c>
      <c r="B10" s="6" t="s">
        <v>57</v>
      </c>
      <c r="C10" s="6" t="s">
        <v>58</v>
      </c>
      <c r="D10" s="6" t="s">
        <v>59</v>
      </c>
      <c r="E10" s="6" t="s">
        <v>60</v>
      </c>
      <c r="F10" s="7"/>
      <c r="G10" s="6"/>
    </row>
    <row r="11" spans="1:7">
      <c r="A11" s="6"/>
      <c r="B11" s="6"/>
      <c r="C11" s="6"/>
      <c r="D11" s="6"/>
      <c r="E11" s="6"/>
      <c r="F11" s="7"/>
      <c r="G11" s="6"/>
    </row>
    <row r="12" spans="1:7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  <c r="F12" s="7"/>
      <c r="G12" s="6"/>
    </row>
    <row r="13" spans="1:7">
      <c r="A13" s="19" t="s">
        <v>66</v>
      </c>
      <c r="B13" s="16"/>
      <c r="C13" s="16"/>
      <c r="D13" s="16"/>
      <c r="E13" s="16"/>
      <c r="F13" s="16"/>
      <c r="G13" s="16"/>
    </row>
    <row r="14" spans="1:7">
      <c r="A14" s="4" t="s">
        <v>39</v>
      </c>
      <c r="B14" s="4" t="s">
        <v>40</v>
      </c>
      <c r="C14" s="4" t="s">
        <v>41</v>
      </c>
      <c r="D14" s="4" t="s">
        <v>42</v>
      </c>
      <c r="E14" s="4" t="s">
        <v>43</v>
      </c>
      <c r="F14" s="4" t="s">
        <v>44</v>
      </c>
      <c r="G14" s="4" t="s">
        <v>16</v>
      </c>
    </row>
    <row r="15" spans="1:7">
      <c r="A15" s="6" t="s">
        <v>67</v>
      </c>
      <c r="B15" s="6" t="s">
        <v>68</v>
      </c>
      <c r="C15" s="6" t="s">
        <v>69</v>
      </c>
      <c r="D15" s="6" t="s">
        <v>70</v>
      </c>
      <c r="E15" s="6" t="s">
        <v>71</v>
      </c>
      <c r="F15" s="7"/>
      <c r="G15" s="6"/>
    </row>
    <row r="16" spans="1:7">
      <c r="A16" s="6"/>
      <c r="B16" s="6"/>
      <c r="C16" s="6"/>
      <c r="D16" s="6"/>
      <c r="E16" s="6"/>
      <c r="F16" s="7"/>
      <c r="G16" s="6"/>
    </row>
    <row r="17" spans="1:7">
      <c r="A17" s="6" t="s">
        <v>72</v>
      </c>
      <c r="B17" s="6" t="s">
        <v>73</v>
      </c>
      <c r="C17" s="6" t="s">
        <v>74</v>
      </c>
      <c r="D17" s="6" t="s">
        <v>75</v>
      </c>
      <c r="E17" s="6" t="s">
        <v>76</v>
      </c>
      <c r="F17" s="7"/>
      <c r="G17" s="6"/>
    </row>
  </sheetData>
  <mergeCells count="4">
    <mergeCell ref="A8:G8"/>
    <mergeCell ref="A3:G3"/>
    <mergeCell ref="A13:G1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0"/>
  <sheetViews>
    <sheetView workbookViewId="0"/>
  </sheetViews>
  <sheetFormatPr defaultRowHeight="15"/>
  <cols>
    <col min="1" max="1" width="5" customWidth="1"/>
    <col min="2" max="2" width="40" customWidth="1"/>
    <col min="3" max="4" width="15" customWidth="1"/>
    <col min="5" max="5" width="20" customWidth="1"/>
    <col min="6" max="6" width="15" customWidth="1"/>
    <col min="7" max="7" width="25" customWidth="1"/>
    <col min="8" max="8" width="35" customWidth="1"/>
    <col min="9" max="9" width="8" customWidth="1"/>
    <col min="10" max="10" width="15" customWidth="1"/>
    <col min="11" max="11" width="12" customWidth="1"/>
    <col min="12" max="12" width="20" customWidth="1"/>
  </cols>
  <sheetData>
    <row r="1" spans="1:12">
      <c r="A1" s="18" t="s">
        <v>77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>
      <c r="A2" s="16" t="s">
        <v>78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1:12">
      <c r="A4" s="8" t="s">
        <v>79</v>
      </c>
      <c r="B4" s="8" t="s">
        <v>80</v>
      </c>
      <c r="C4" s="8" t="s">
        <v>81</v>
      </c>
      <c r="D4" s="8" t="s">
        <v>82</v>
      </c>
      <c r="E4" s="8" t="s">
        <v>83</v>
      </c>
      <c r="F4" s="8" t="s">
        <v>84</v>
      </c>
      <c r="G4" s="8" t="s">
        <v>85</v>
      </c>
      <c r="H4" s="8" t="s">
        <v>86</v>
      </c>
      <c r="I4" s="8" t="s">
        <v>87</v>
      </c>
      <c r="J4" s="8" t="s">
        <v>16</v>
      </c>
      <c r="K4" s="8" t="s">
        <v>88</v>
      </c>
      <c r="L4" s="8" t="s">
        <v>89</v>
      </c>
    </row>
    <row r="5" spans="1:12">
      <c r="A5" s="6">
        <v>1</v>
      </c>
      <c r="B5" s="6" t="s">
        <v>90</v>
      </c>
      <c r="C5" s="6" t="s">
        <v>91</v>
      </c>
      <c r="D5" s="6" t="s">
        <v>7</v>
      </c>
      <c r="E5" s="7"/>
      <c r="F5" s="7"/>
      <c r="G5" s="7"/>
      <c r="H5" s="6" t="s">
        <v>92</v>
      </c>
      <c r="I5" s="9" t="s">
        <v>93</v>
      </c>
      <c r="J5" s="10" t="s">
        <v>94</v>
      </c>
      <c r="K5" s="7"/>
      <c r="L5" s="7" t="s">
        <v>95</v>
      </c>
    </row>
    <row r="6" spans="1:12">
      <c r="A6" s="6">
        <v>2</v>
      </c>
      <c r="B6" s="6" t="s">
        <v>96</v>
      </c>
      <c r="C6" s="6" t="s">
        <v>91</v>
      </c>
      <c r="D6" s="6" t="s">
        <v>7</v>
      </c>
      <c r="E6" s="7"/>
      <c r="F6" s="7"/>
      <c r="G6" s="7"/>
      <c r="H6" s="6" t="s">
        <v>97</v>
      </c>
      <c r="I6" s="9" t="s">
        <v>93</v>
      </c>
      <c r="J6" s="10" t="s">
        <v>94</v>
      </c>
      <c r="K6" s="7"/>
      <c r="L6" s="7" t="s">
        <v>98</v>
      </c>
    </row>
    <row r="7" spans="1:12">
      <c r="A7" s="6">
        <v>3</v>
      </c>
      <c r="B7" s="6" t="s">
        <v>99</v>
      </c>
      <c r="C7" s="6" t="s">
        <v>91</v>
      </c>
      <c r="D7" s="6" t="s">
        <v>7</v>
      </c>
      <c r="E7" s="7"/>
      <c r="F7" s="7"/>
      <c r="G7" s="7"/>
      <c r="H7" s="6" t="s">
        <v>100</v>
      </c>
      <c r="I7" s="9" t="s">
        <v>93</v>
      </c>
      <c r="J7" s="10" t="s">
        <v>94</v>
      </c>
      <c r="K7" s="7"/>
      <c r="L7" s="7" t="s">
        <v>95</v>
      </c>
    </row>
    <row r="8" spans="1:12">
      <c r="A8" s="6">
        <v>4</v>
      </c>
      <c r="B8" s="6" t="s">
        <v>101</v>
      </c>
      <c r="C8" s="6" t="s">
        <v>91</v>
      </c>
      <c r="D8" s="6" t="s">
        <v>102</v>
      </c>
      <c r="E8" s="7"/>
      <c r="F8" s="7"/>
      <c r="G8" s="7"/>
      <c r="H8" s="6" t="s">
        <v>103</v>
      </c>
      <c r="I8" s="9" t="s">
        <v>93</v>
      </c>
      <c r="J8" s="10" t="s">
        <v>94</v>
      </c>
      <c r="K8" s="7"/>
      <c r="L8" s="7" t="s">
        <v>98</v>
      </c>
    </row>
    <row r="9" spans="1:12">
      <c r="A9" s="6">
        <v>5</v>
      </c>
      <c r="B9" s="6" t="s">
        <v>104</v>
      </c>
      <c r="C9" s="6" t="s">
        <v>105</v>
      </c>
      <c r="D9" s="6" t="s">
        <v>7</v>
      </c>
      <c r="E9" s="7"/>
      <c r="F9" s="7"/>
      <c r="G9" s="7"/>
      <c r="H9" s="6" t="s">
        <v>106</v>
      </c>
      <c r="I9" s="9" t="s">
        <v>93</v>
      </c>
      <c r="J9" s="10" t="s">
        <v>94</v>
      </c>
      <c r="K9" s="7"/>
      <c r="L9" s="7" t="s">
        <v>95</v>
      </c>
    </row>
    <row r="10" spans="1:12">
      <c r="A10" s="6">
        <v>6</v>
      </c>
      <c r="B10" s="6" t="s">
        <v>107</v>
      </c>
      <c r="C10" s="6" t="s">
        <v>105</v>
      </c>
      <c r="D10" s="6" t="s">
        <v>7</v>
      </c>
      <c r="E10" s="7"/>
      <c r="F10" s="7"/>
      <c r="G10" s="7"/>
      <c r="H10" s="6" t="s">
        <v>108</v>
      </c>
      <c r="I10" s="9" t="s">
        <v>93</v>
      </c>
      <c r="J10" s="10" t="s">
        <v>94</v>
      </c>
      <c r="K10" s="7"/>
      <c r="L10" s="7" t="s">
        <v>95</v>
      </c>
    </row>
    <row r="11" spans="1:12">
      <c r="A11" s="6">
        <v>7</v>
      </c>
      <c r="B11" s="6" t="s">
        <v>109</v>
      </c>
      <c r="C11" s="6" t="s">
        <v>110</v>
      </c>
      <c r="D11" s="6" t="s">
        <v>7</v>
      </c>
      <c r="E11" s="7"/>
      <c r="F11" s="7"/>
      <c r="G11" s="7"/>
      <c r="H11" s="6" t="s">
        <v>111</v>
      </c>
      <c r="I11" s="9" t="s">
        <v>93</v>
      </c>
      <c r="J11" s="10" t="s">
        <v>94</v>
      </c>
      <c r="K11" s="7"/>
      <c r="L11" s="7" t="s">
        <v>112</v>
      </c>
    </row>
    <row r="12" spans="1:12">
      <c r="A12" s="6">
        <v>8</v>
      </c>
      <c r="B12" s="6" t="s">
        <v>113</v>
      </c>
      <c r="C12" s="6" t="s">
        <v>114</v>
      </c>
      <c r="D12" s="6" t="s">
        <v>7</v>
      </c>
      <c r="E12" s="7"/>
      <c r="F12" s="7"/>
      <c r="G12" s="7"/>
      <c r="H12" s="6" t="s">
        <v>115</v>
      </c>
      <c r="I12" s="9" t="s">
        <v>93</v>
      </c>
      <c r="J12" s="10" t="s">
        <v>94</v>
      </c>
      <c r="K12" s="7"/>
      <c r="L12" s="7" t="s">
        <v>95</v>
      </c>
    </row>
    <row r="13" spans="1:12">
      <c r="A13" s="6">
        <v>9</v>
      </c>
      <c r="B13" s="6" t="s">
        <v>116</v>
      </c>
      <c r="C13" s="6" t="s">
        <v>117</v>
      </c>
      <c r="D13" s="6" t="s">
        <v>7</v>
      </c>
      <c r="E13" s="7"/>
      <c r="F13" s="7"/>
      <c r="G13" s="7"/>
      <c r="H13" s="6" t="s">
        <v>118</v>
      </c>
      <c r="I13" s="9" t="s">
        <v>93</v>
      </c>
      <c r="J13" s="10" t="s">
        <v>94</v>
      </c>
      <c r="K13" s="7"/>
      <c r="L13" s="7" t="s">
        <v>112</v>
      </c>
    </row>
    <row r="14" spans="1:12">
      <c r="A14" s="6">
        <v>10</v>
      </c>
      <c r="B14" s="6" t="s">
        <v>119</v>
      </c>
      <c r="C14" s="6" t="s">
        <v>117</v>
      </c>
      <c r="D14" s="6" t="s">
        <v>7</v>
      </c>
      <c r="E14" s="7"/>
      <c r="F14" s="7"/>
      <c r="G14" s="7"/>
      <c r="H14" s="6" t="s">
        <v>120</v>
      </c>
      <c r="I14" s="9" t="s">
        <v>93</v>
      </c>
      <c r="J14" s="10" t="s">
        <v>94</v>
      </c>
      <c r="K14" s="7"/>
      <c r="L14" s="7" t="s">
        <v>98</v>
      </c>
    </row>
    <row r="15" spans="1:12">
      <c r="A15" s="6">
        <v>11</v>
      </c>
      <c r="B15" s="6" t="s">
        <v>121</v>
      </c>
      <c r="C15" s="6" t="s">
        <v>91</v>
      </c>
      <c r="D15" s="6" t="s">
        <v>102</v>
      </c>
      <c r="E15" s="7"/>
      <c r="F15" s="7"/>
      <c r="G15" s="7"/>
      <c r="H15" s="6" t="s">
        <v>122</v>
      </c>
      <c r="I15" s="7" t="s">
        <v>123</v>
      </c>
      <c r="J15" s="10" t="s">
        <v>94</v>
      </c>
      <c r="K15" s="7"/>
      <c r="L15" s="7" t="s">
        <v>98</v>
      </c>
    </row>
    <row r="16" spans="1:12">
      <c r="A16" s="6">
        <v>12</v>
      </c>
      <c r="B16" s="6" t="s">
        <v>124</v>
      </c>
      <c r="C16" s="6" t="s">
        <v>125</v>
      </c>
      <c r="D16" s="6" t="s">
        <v>102</v>
      </c>
      <c r="E16" s="7"/>
      <c r="F16" s="7"/>
      <c r="G16" s="7"/>
      <c r="H16" s="6" t="s">
        <v>126</v>
      </c>
      <c r="I16" s="7" t="s">
        <v>123</v>
      </c>
      <c r="J16" s="10" t="s">
        <v>94</v>
      </c>
      <c r="K16" s="7"/>
      <c r="L16" s="7" t="s">
        <v>98</v>
      </c>
    </row>
    <row r="17" spans="1:12">
      <c r="A17" s="6">
        <v>13</v>
      </c>
      <c r="B17" s="6" t="s">
        <v>127</v>
      </c>
      <c r="C17" s="6" t="s">
        <v>125</v>
      </c>
      <c r="D17" s="6" t="s">
        <v>7</v>
      </c>
      <c r="E17" s="7"/>
      <c r="F17" s="7"/>
      <c r="G17" s="7"/>
      <c r="H17" s="6" t="s">
        <v>128</v>
      </c>
      <c r="I17" s="7" t="s">
        <v>123</v>
      </c>
      <c r="J17" s="10" t="s">
        <v>94</v>
      </c>
      <c r="K17" s="7"/>
      <c r="L17" s="7" t="s">
        <v>95</v>
      </c>
    </row>
    <row r="18" spans="1:12">
      <c r="A18" s="6">
        <v>14</v>
      </c>
      <c r="B18" s="6" t="s">
        <v>129</v>
      </c>
      <c r="C18" s="6" t="s">
        <v>125</v>
      </c>
      <c r="D18" s="6" t="s">
        <v>102</v>
      </c>
      <c r="E18" s="7"/>
      <c r="F18" s="7"/>
      <c r="G18" s="7"/>
      <c r="H18" s="6" t="s">
        <v>130</v>
      </c>
      <c r="I18" s="7" t="s">
        <v>123</v>
      </c>
      <c r="J18" s="10" t="s">
        <v>94</v>
      </c>
      <c r="K18" s="7"/>
      <c r="L18" s="7" t="s">
        <v>98</v>
      </c>
    </row>
    <row r="19" spans="1:12">
      <c r="A19" s="6">
        <v>15</v>
      </c>
      <c r="B19" s="6" t="s">
        <v>131</v>
      </c>
      <c r="C19" s="6" t="s">
        <v>105</v>
      </c>
      <c r="D19" s="6" t="s">
        <v>7</v>
      </c>
      <c r="E19" s="7"/>
      <c r="F19" s="7"/>
      <c r="G19" s="7"/>
      <c r="H19" s="6" t="s">
        <v>132</v>
      </c>
      <c r="I19" s="7" t="s">
        <v>123</v>
      </c>
      <c r="J19" s="10" t="s">
        <v>94</v>
      </c>
      <c r="K19" s="7"/>
      <c r="L19" s="7" t="s">
        <v>98</v>
      </c>
    </row>
    <row r="20" spans="1:12">
      <c r="A20" s="6">
        <v>16</v>
      </c>
      <c r="B20" s="6" t="s">
        <v>133</v>
      </c>
      <c r="C20" s="6" t="s">
        <v>105</v>
      </c>
      <c r="D20" s="6" t="s">
        <v>7</v>
      </c>
      <c r="E20" s="7"/>
      <c r="F20" s="7"/>
      <c r="G20" s="7"/>
      <c r="H20" s="6" t="s">
        <v>134</v>
      </c>
      <c r="I20" s="7" t="s">
        <v>123</v>
      </c>
      <c r="J20" s="10" t="s">
        <v>94</v>
      </c>
      <c r="K20" s="7"/>
      <c r="L20" s="7" t="s">
        <v>95</v>
      </c>
    </row>
    <row r="21" spans="1:12">
      <c r="A21" s="6">
        <v>17</v>
      </c>
      <c r="B21" s="6" t="s">
        <v>135</v>
      </c>
      <c r="C21" s="6" t="s">
        <v>105</v>
      </c>
      <c r="D21" s="6" t="s">
        <v>7</v>
      </c>
      <c r="E21" s="7"/>
      <c r="F21" s="7"/>
      <c r="G21" s="7"/>
      <c r="H21" s="6" t="s">
        <v>136</v>
      </c>
      <c r="I21" s="7" t="s">
        <v>123</v>
      </c>
      <c r="J21" s="10" t="s">
        <v>94</v>
      </c>
      <c r="K21" s="7"/>
      <c r="L21" s="7" t="s">
        <v>98</v>
      </c>
    </row>
    <row r="22" spans="1:12">
      <c r="A22" s="6">
        <v>18</v>
      </c>
      <c r="B22" s="6" t="s">
        <v>137</v>
      </c>
      <c r="C22" s="6" t="s">
        <v>114</v>
      </c>
      <c r="D22" s="6" t="s">
        <v>7</v>
      </c>
      <c r="E22" s="7"/>
      <c r="F22" s="7"/>
      <c r="G22" s="7"/>
      <c r="H22" s="6" t="s">
        <v>138</v>
      </c>
      <c r="I22" s="7" t="s">
        <v>123</v>
      </c>
      <c r="J22" s="10" t="s">
        <v>94</v>
      </c>
      <c r="K22" s="7"/>
      <c r="L22" s="7" t="s">
        <v>98</v>
      </c>
    </row>
    <row r="23" spans="1:12">
      <c r="A23" s="6">
        <v>19</v>
      </c>
      <c r="B23" s="6" t="s">
        <v>139</v>
      </c>
      <c r="C23" s="6" t="s">
        <v>114</v>
      </c>
      <c r="D23" s="6" t="s">
        <v>7</v>
      </c>
      <c r="E23" s="7"/>
      <c r="F23" s="7"/>
      <c r="G23" s="7"/>
      <c r="H23" s="6" t="s">
        <v>140</v>
      </c>
      <c r="I23" s="6" t="s">
        <v>141</v>
      </c>
      <c r="J23" s="10" t="s">
        <v>94</v>
      </c>
      <c r="K23" s="7"/>
      <c r="L23" s="7" t="s">
        <v>98</v>
      </c>
    </row>
    <row r="24" spans="1:12">
      <c r="A24" s="6">
        <v>20</v>
      </c>
      <c r="B24" s="6" t="s">
        <v>142</v>
      </c>
      <c r="C24" s="6" t="s">
        <v>114</v>
      </c>
      <c r="D24" s="6" t="s">
        <v>7</v>
      </c>
      <c r="E24" s="7"/>
      <c r="F24" s="7"/>
      <c r="G24" s="7"/>
      <c r="H24" s="6" t="s">
        <v>143</v>
      </c>
      <c r="I24" s="7" t="s">
        <v>123</v>
      </c>
      <c r="J24" s="10" t="s">
        <v>94</v>
      </c>
      <c r="K24" s="7"/>
      <c r="L24" s="7" t="s">
        <v>95</v>
      </c>
    </row>
    <row r="25" spans="1:12">
      <c r="A25">
        <v>21</v>
      </c>
      <c r="E25" s="2"/>
      <c r="F25" s="2"/>
      <c r="G25" s="2"/>
      <c r="K25" s="2"/>
      <c r="L25" s="2"/>
    </row>
    <row r="26" spans="1:12">
      <c r="A26">
        <v>22</v>
      </c>
      <c r="E26" s="2"/>
      <c r="F26" s="2"/>
      <c r="G26" s="2"/>
      <c r="K26" s="2"/>
      <c r="L26" s="2"/>
    </row>
    <row r="27" spans="1:12">
      <c r="A27">
        <v>23</v>
      </c>
      <c r="E27" s="2"/>
      <c r="F27" s="2"/>
      <c r="G27" s="2"/>
      <c r="K27" s="2"/>
      <c r="L27" s="2"/>
    </row>
    <row r="28" spans="1:12">
      <c r="A28">
        <v>24</v>
      </c>
      <c r="E28" s="2"/>
      <c r="F28" s="2"/>
      <c r="G28" s="2"/>
      <c r="K28" s="2"/>
      <c r="L28" s="2"/>
    </row>
    <row r="29" spans="1:12">
      <c r="A29">
        <v>25</v>
      </c>
      <c r="E29" s="2"/>
      <c r="F29" s="2"/>
      <c r="G29" s="2"/>
      <c r="K29" s="2"/>
      <c r="L29" s="2"/>
    </row>
    <row r="30" spans="1:12">
      <c r="A30">
        <v>26</v>
      </c>
      <c r="E30" s="2"/>
      <c r="F30" s="2"/>
      <c r="G30" s="2"/>
      <c r="K30" s="2"/>
      <c r="L30" s="2"/>
    </row>
    <row r="31" spans="1:12">
      <c r="A31">
        <v>27</v>
      </c>
      <c r="E31" s="2"/>
      <c r="F31" s="2"/>
      <c r="G31" s="2"/>
      <c r="K31" s="2"/>
      <c r="L31" s="2"/>
    </row>
    <row r="32" spans="1:12">
      <c r="A32">
        <v>28</v>
      </c>
      <c r="E32" s="2"/>
      <c r="F32" s="2"/>
      <c r="G32" s="2"/>
      <c r="K32" s="2"/>
      <c r="L32" s="2"/>
    </row>
    <row r="33" spans="1:12">
      <c r="A33">
        <v>29</v>
      </c>
      <c r="E33" s="2"/>
      <c r="F33" s="2"/>
      <c r="G33" s="2"/>
      <c r="K33" s="2"/>
      <c r="L33" s="2"/>
    </row>
    <row r="34" spans="1:12">
      <c r="A34">
        <v>30</v>
      </c>
      <c r="E34" s="2"/>
      <c r="F34" s="2"/>
      <c r="G34" s="2"/>
      <c r="K34" s="2"/>
      <c r="L34" s="2"/>
    </row>
    <row r="35" spans="1:12">
      <c r="A35">
        <v>31</v>
      </c>
      <c r="E35" s="2"/>
      <c r="F35" s="2"/>
      <c r="G35" s="2"/>
      <c r="K35" s="2"/>
      <c r="L35" s="2"/>
    </row>
    <row r="36" spans="1:12">
      <c r="A36">
        <v>32</v>
      </c>
      <c r="E36" s="2"/>
      <c r="F36" s="2"/>
      <c r="G36" s="2"/>
      <c r="K36" s="2"/>
      <c r="L36" s="2"/>
    </row>
    <row r="37" spans="1:12">
      <c r="A37">
        <v>33</v>
      </c>
      <c r="E37" s="2"/>
      <c r="F37" s="2"/>
      <c r="G37" s="2"/>
      <c r="K37" s="2"/>
      <c r="L37" s="2"/>
    </row>
    <row r="38" spans="1:12">
      <c r="A38">
        <v>34</v>
      </c>
      <c r="E38" s="2"/>
      <c r="F38" s="2"/>
      <c r="G38" s="2"/>
      <c r="K38" s="2"/>
      <c r="L38" s="2"/>
    </row>
    <row r="39" spans="1:12">
      <c r="A39">
        <v>35</v>
      </c>
      <c r="E39" s="2"/>
      <c r="F39" s="2"/>
      <c r="G39" s="2"/>
      <c r="K39" s="2"/>
      <c r="L39" s="2"/>
    </row>
    <row r="40" spans="1:12">
      <c r="A40">
        <v>36</v>
      </c>
      <c r="E40" s="2"/>
      <c r="F40" s="2"/>
      <c r="G40" s="2"/>
      <c r="K40" s="2"/>
      <c r="L40" s="2"/>
    </row>
    <row r="41" spans="1:12">
      <c r="A41">
        <v>37</v>
      </c>
      <c r="E41" s="2"/>
      <c r="F41" s="2"/>
      <c r="G41" s="2"/>
      <c r="K41" s="2"/>
      <c r="L41" s="2"/>
    </row>
    <row r="42" spans="1:12">
      <c r="A42">
        <v>38</v>
      </c>
      <c r="E42" s="2"/>
      <c r="F42" s="2"/>
      <c r="G42" s="2"/>
      <c r="K42" s="2"/>
      <c r="L42" s="2"/>
    </row>
    <row r="43" spans="1:12">
      <c r="A43">
        <v>39</v>
      </c>
      <c r="E43" s="2"/>
      <c r="F43" s="2"/>
      <c r="G43" s="2"/>
      <c r="K43" s="2"/>
      <c r="L43" s="2"/>
    </row>
    <row r="44" spans="1:12">
      <c r="A44">
        <v>40</v>
      </c>
      <c r="E44" s="2"/>
      <c r="F44" s="2"/>
      <c r="G44" s="2"/>
      <c r="K44" s="2"/>
      <c r="L44" s="2"/>
    </row>
    <row r="45" spans="1:12">
      <c r="A45">
        <v>41</v>
      </c>
      <c r="E45" s="2"/>
      <c r="F45" s="2"/>
      <c r="G45" s="2"/>
      <c r="K45" s="2"/>
      <c r="L45" s="2"/>
    </row>
    <row r="46" spans="1:12">
      <c r="A46">
        <v>42</v>
      </c>
      <c r="E46" s="2"/>
      <c r="F46" s="2"/>
      <c r="G46" s="2"/>
      <c r="K46" s="2"/>
      <c r="L46" s="2"/>
    </row>
    <row r="47" spans="1:12">
      <c r="A47">
        <v>43</v>
      </c>
      <c r="E47" s="2"/>
      <c r="F47" s="2"/>
      <c r="G47" s="2"/>
      <c r="K47" s="2"/>
      <c r="L47" s="2"/>
    </row>
    <row r="48" spans="1:12">
      <c r="A48">
        <v>44</v>
      </c>
      <c r="E48" s="2"/>
      <c r="F48" s="2"/>
      <c r="G48" s="2"/>
      <c r="K48" s="2"/>
      <c r="L48" s="2"/>
    </row>
    <row r="49" spans="1:12">
      <c r="A49">
        <v>45</v>
      </c>
      <c r="E49" s="2"/>
      <c r="F49" s="2"/>
      <c r="G49" s="2"/>
      <c r="K49" s="2"/>
      <c r="L49" s="2"/>
    </row>
    <row r="50" spans="1:12">
      <c r="A50">
        <v>46</v>
      </c>
      <c r="E50" s="2"/>
      <c r="F50" s="2"/>
      <c r="G50" s="2"/>
      <c r="K50" s="2"/>
      <c r="L50" s="2"/>
    </row>
    <row r="51" spans="1:12">
      <c r="A51">
        <v>47</v>
      </c>
      <c r="E51" s="2"/>
      <c r="F51" s="2"/>
      <c r="G51" s="2"/>
      <c r="K51" s="2"/>
      <c r="L51" s="2"/>
    </row>
    <row r="52" spans="1:12">
      <c r="A52">
        <v>48</v>
      </c>
      <c r="E52" s="2"/>
      <c r="F52" s="2"/>
      <c r="G52" s="2"/>
      <c r="K52" s="2"/>
      <c r="L52" s="2"/>
    </row>
    <row r="53" spans="1:12">
      <c r="A53">
        <v>49</v>
      </c>
      <c r="E53" s="2"/>
      <c r="F53" s="2"/>
      <c r="G53" s="2"/>
      <c r="K53" s="2"/>
      <c r="L53" s="2"/>
    </row>
    <row r="54" spans="1:12">
      <c r="A54">
        <v>50</v>
      </c>
      <c r="E54" s="2"/>
      <c r="F54" s="2"/>
      <c r="G54" s="2"/>
      <c r="K54" s="2"/>
      <c r="L54" s="2"/>
    </row>
    <row r="55" spans="1:12">
      <c r="A55">
        <v>51</v>
      </c>
      <c r="E55" s="2"/>
      <c r="F55" s="2"/>
      <c r="G55" s="2"/>
      <c r="K55" s="2"/>
      <c r="L55" s="2"/>
    </row>
    <row r="56" spans="1:12">
      <c r="A56">
        <v>52</v>
      </c>
      <c r="E56" s="2"/>
      <c r="F56" s="2"/>
      <c r="G56" s="2"/>
      <c r="K56" s="2"/>
      <c r="L56" s="2"/>
    </row>
    <row r="57" spans="1:12">
      <c r="A57">
        <v>53</v>
      </c>
      <c r="E57" s="2"/>
      <c r="F57" s="2"/>
      <c r="G57" s="2"/>
      <c r="K57" s="2"/>
      <c r="L57" s="2"/>
    </row>
    <row r="58" spans="1:12">
      <c r="A58">
        <v>54</v>
      </c>
      <c r="E58" s="2"/>
      <c r="F58" s="2"/>
      <c r="G58" s="2"/>
      <c r="K58" s="2"/>
      <c r="L58" s="2"/>
    </row>
    <row r="59" spans="1:12">
      <c r="A59">
        <v>55</v>
      </c>
      <c r="E59" s="2"/>
      <c r="F59" s="2"/>
      <c r="G59" s="2"/>
      <c r="K59" s="2"/>
      <c r="L59" s="2"/>
    </row>
    <row r="60" spans="1:12">
      <c r="A60">
        <v>56</v>
      </c>
      <c r="E60" s="2"/>
      <c r="F60" s="2"/>
      <c r="G60" s="2"/>
      <c r="K60" s="2"/>
      <c r="L60" s="2"/>
    </row>
    <row r="61" spans="1:12">
      <c r="A61">
        <v>57</v>
      </c>
      <c r="E61" s="2"/>
      <c r="F61" s="2"/>
      <c r="G61" s="2"/>
      <c r="K61" s="2"/>
      <c r="L61" s="2"/>
    </row>
    <row r="62" spans="1:12">
      <c r="A62">
        <v>58</v>
      </c>
      <c r="E62" s="2"/>
      <c r="F62" s="2"/>
      <c r="G62" s="2"/>
      <c r="K62" s="2"/>
      <c r="L62" s="2"/>
    </row>
    <row r="63" spans="1:12">
      <c r="A63">
        <v>59</v>
      </c>
      <c r="E63" s="2"/>
      <c r="F63" s="2"/>
      <c r="G63" s="2"/>
      <c r="K63" s="2"/>
      <c r="L63" s="2"/>
    </row>
    <row r="64" spans="1:12">
      <c r="A64">
        <v>60</v>
      </c>
      <c r="E64" s="2"/>
      <c r="F64" s="2"/>
      <c r="G64" s="2"/>
      <c r="K64" s="2"/>
      <c r="L64" s="2"/>
    </row>
    <row r="65" spans="1:12">
      <c r="A65">
        <v>61</v>
      </c>
      <c r="E65" s="2"/>
      <c r="F65" s="2"/>
      <c r="G65" s="2"/>
      <c r="K65" s="2"/>
      <c r="L65" s="2"/>
    </row>
    <row r="66" spans="1:12">
      <c r="A66">
        <v>62</v>
      </c>
      <c r="E66" s="2"/>
      <c r="F66" s="2"/>
      <c r="G66" s="2"/>
      <c r="K66" s="2"/>
      <c r="L66" s="2"/>
    </row>
    <row r="67" spans="1:12">
      <c r="A67">
        <v>63</v>
      </c>
      <c r="E67" s="2"/>
      <c r="F67" s="2"/>
      <c r="G67" s="2"/>
      <c r="K67" s="2"/>
      <c r="L67" s="2"/>
    </row>
    <row r="68" spans="1:12">
      <c r="A68">
        <v>64</v>
      </c>
      <c r="E68" s="2"/>
      <c r="F68" s="2"/>
      <c r="G68" s="2"/>
      <c r="K68" s="2"/>
      <c r="L68" s="2"/>
    </row>
    <row r="69" spans="1:12">
      <c r="A69">
        <v>65</v>
      </c>
      <c r="E69" s="2"/>
      <c r="F69" s="2"/>
      <c r="G69" s="2"/>
      <c r="K69" s="2"/>
      <c r="L69" s="2"/>
    </row>
    <row r="70" spans="1:12">
      <c r="A70">
        <v>66</v>
      </c>
      <c r="E70" s="2"/>
      <c r="F70" s="2"/>
      <c r="G70" s="2"/>
      <c r="K70" s="2"/>
      <c r="L70" s="2"/>
    </row>
    <row r="71" spans="1:12">
      <c r="A71">
        <v>67</v>
      </c>
      <c r="E71" s="2"/>
      <c r="F71" s="2"/>
      <c r="G71" s="2"/>
      <c r="K71" s="2"/>
      <c r="L71" s="2"/>
    </row>
    <row r="72" spans="1:12">
      <c r="A72">
        <v>68</v>
      </c>
      <c r="E72" s="2"/>
      <c r="F72" s="2"/>
      <c r="G72" s="2"/>
      <c r="K72" s="2"/>
      <c r="L72" s="2"/>
    </row>
    <row r="73" spans="1:12">
      <c r="A73">
        <v>69</v>
      </c>
      <c r="E73" s="2"/>
      <c r="F73" s="2"/>
      <c r="G73" s="2"/>
      <c r="K73" s="2"/>
      <c r="L73" s="2"/>
    </row>
    <row r="74" spans="1:12">
      <c r="A74">
        <v>70</v>
      </c>
      <c r="E74" s="2"/>
      <c r="F74" s="2"/>
      <c r="G74" s="2"/>
      <c r="K74" s="2"/>
      <c r="L74" s="2"/>
    </row>
    <row r="75" spans="1:12">
      <c r="A75">
        <v>71</v>
      </c>
      <c r="E75" s="2"/>
      <c r="F75" s="2"/>
      <c r="G75" s="2"/>
      <c r="K75" s="2"/>
      <c r="L75" s="2"/>
    </row>
    <row r="76" spans="1:12">
      <c r="A76">
        <v>72</v>
      </c>
      <c r="E76" s="2"/>
      <c r="F76" s="2"/>
      <c r="G76" s="2"/>
      <c r="K76" s="2"/>
      <c r="L76" s="2"/>
    </row>
    <row r="77" spans="1:12">
      <c r="A77">
        <v>73</v>
      </c>
      <c r="E77" s="2"/>
      <c r="F77" s="2"/>
      <c r="G77" s="2"/>
      <c r="K77" s="2"/>
      <c r="L77" s="2"/>
    </row>
    <row r="78" spans="1:12">
      <c r="A78">
        <v>74</v>
      </c>
      <c r="E78" s="2"/>
      <c r="F78" s="2"/>
      <c r="G78" s="2"/>
      <c r="K78" s="2"/>
      <c r="L78" s="2"/>
    </row>
    <row r="79" spans="1:12">
      <c r="A79">
        <v>75</v>
      </c>
      <c r="E79" s="2"/>
      <c r="F79" s="2"/>
      <c r="G79" s="2"/>
      <c r="K79" s="2"/>
      <c r="L79" s="2"/>
    </row>
    <row r="80" spans="1:12">
      <c r="A80">
        <v>76</v>
      </c>
      <c r="E80" s="2"/>
      <c r="F80" s="2"/>
      <c r="G80" s="2"/>
      <c r="K80" s="2"/>
      <c r="L80" s="2"/>
    </row>
    <row r="81" spans="1:12">
      <c r="A81">
        <v>77</v>
      </c>
      <c r="E81" s="2"/>
      <c r="F81" s="2"/>
      <c r="G81" s="2"/>
      <c r="K81" s="2"/>
      <c r="L81" s="2"/>
    </row>
    <row r="82" spans="1:12">
      <c r="A82">
        <v>78</v>
      </c>
      <c r="E82" s="2"/>
      <c r="F82" s="2"/>
      <c r="G82" s="2"/>
      <c r="K82" s="2"/>
      <c r="L82" s="2"/>
    </row>
    <row r="83" spans="1:12">
      <c r="A83">
        <v>79</v>
      </c>
      <c r="E83" s="2"/>
      <c r="F83" s="2"/>
      <c r="G83" s="2"/>
      <c r="K83" s="2"/>
      <c r="L83" s="2"/>
    </row>
    <row r="84" spans="1:12">
      <c r="A84">
        <v>80</v>
      </c>
      <c r="E84" s="2"/>
      <c r="F84" s="2"/>
      <c r="G84" s="2"/>
      <c r="K84" s="2"/>
      <c r="L84" s="2"/>
    </row>
    <row r="85" spans="1:12">
      <c r="A85">
        <v>81</v>
      </c>
      <c r="E85" s="2"/>
      <c r="F85" s="2"/>
      <c r="G85" s="2"/>
      <c r="K85" s="2"/>
      <c r="L85" s="2"/>
    </row>
    <row r="86" spans="1:12">
      <c r="A86">
        <v>82</v>
      </c>
      <c r="E86" s="2"/>
      <c r="F86" s="2"/>
      <c r="G86" s="2"/>
      <c r="K86" s="2"/>
      <c r="L86" s="2"/>
    </row>
    <row r="87" spans="1:12">
      <c r="A87">
        <v>83</v>
      </c>
      <c r="E87" s="2"/>
      <c r="F87" s="2"/>
      <c r="G87" s="2"/>
      <c r="K87" s="2"/>
      <c r="L87" s="2"/>
    </row>
    <row r="88" spans="1:12">
      <c r="A88">
        <v>84</v>
      </c>
      <c r="E88" s="2"/>
      <c r="F88" s="2"/>
      <c r="G88" s="2"/>
      <c r="K88" s="2"/>
      <c r="L88" s="2"/>
    </row>
    <row r="89" spans="1:12">
      <c r="A89">
        <v>85</v>
      </c>
      <c r="E89" s="2"/>
      <c r="F89" s="2"/>
      <c r="G89" s="2"/>
      <c r="K89" s="2"/>
      <c r="L89" s="2"/>
    </row>
    <row r="90" spans="1:12">
      <c r="A90">
        <v>86</v>
      </c>
      <c r="E90" s="2"/>
      <c r="F90" s="2"/>
      <c r="G90" s="2"/>
      <c r="K90" s="2"/>
      <c r="L90" s="2"/>
    </row>
    <row r="91" spans="1:12">
      <c r="A91">
        <v>87</v>
      </c>
      <c r="E91" s="2"/>
      <c r="F91" s="2"/>
      <c r="G91" s="2"/>
      <c r="K91" s="2"/>
      <c r="L91" s="2"/>
    </row>
    <row r="92" spans="1:12">
      <c r="A92">
        <v>88</v>
      </c>
      <c r="E92" s="2"/>
      <c r="F92" s="2"/>
      <c r="G92" s="2"/>
      <c r="K92" s="2"/>
      <c r="L92" s="2"/>
    </row>
    <row r="93" spans="1:12">
      <c r="A93">
        <v>89</v>
      </c>
      <c r="E93" s="2"/>
      <c r="F93" s="2"/>
      <c r="G93" s="2"/>
      <c r="K93" s="2"/>
      <c r="L93" s="2"/>
    </row>
    <row r="94" spans="1:12">
      <c r="A94">
        <v>90</v>
      </c>
      <c r="E94" s="2"/>
      <c r="F94" s="2"/>
      <c r="G94" s="2"/>
      <c r="K94" s="2"/>
      <c r="L94" s="2"/>
    </row>
    <row r="95" spans="1:12">
      <c r="A95">
        <v>91</v>
      </c>
      <c r="E95" s="2"/>
      <c r="F95" s="2"/>
      <c r="G95" s="2"/>
      <c r="K95" s="2"/>
      <c r="L95" s="2"/>
    </row>
    <row r="96" spans="1:12">
      <c r="A96">
        <v>92</v>
      </c>
      <c r="E96" s="2"/>
      <c r="F96" s="2"/>
      <c r="G96" s="2"/>
      <c r="K96" s="2"/>
      <c r="L96" s="2"/>
    </row>
    <row r="97" spans="1:12">
      <c r="A97">
        <v>93</v>
      </c>
      <c r="E97" s="2"/>
      <c r="F97" s="2"/>
      <c r="G97" s="2"/>
      <c r="K97" s="2"/>
      <c r="L97" s="2"/>
    </row>
    <row r="98" spans="1:12">
      <c r="A98">
        <v>94</v>
      </c>
      <c r="E98" s="2"/>
      <c r="F98" s="2"/>
      <c r="G98" s="2"/>
      <c r="K98" s="2"/>
      <c r="L98" s="2"/>
    </row>
    <row r="99" spans="1:12">
      <c r="A99">
        <v>95</v>
      </c>
      <c r="E99" s="2"/>
      <c r="F99" s="2"/>
      <c r="G99" s="2"/>
      <c r="K99" s="2"/>
      <c r="L99" s="2"/>
    </row>
    <row r="100" spans="1:12">
      <c r="A100">
        <v>96</v>
      </c>
      <c r="E100" s="2"/>
      <c r="F100" s="2"/>
      <c r="G100" s="2"/>
      <c r="K100" s="2"/>
      <c r="L100" s="2"/>
    </row>
    <row r="101" spans="1:12">
      <c r="A101">
        <v>97</v>
      </c>
      <c r="E101" s="2"/>
      <c r="F101" s="2"/>
      <c r="G101" s="2"/>
      <c r="K101" s="2"/>
      <c r="L101" s="2"/>
    </row>
    <row r="102" spans="1:12">
      <c r="A102">
        <v>98</v>
      </c>
      <c r="E102" s="2"/>
      <c r="F102" s="2"/>
      <c r="G102" s="2"/>
      <c r="K102" s="2"/>
      <c r="L102" s="2"/>
    </row>
    <row r="103" spans="1:12">
      <c r="A103">
        <v>99</v>
      </c>
      <c r="E103" s="2"/>
      <c r="F103" s="2"/>
      <c r="G103" s="2"/>
      <c r="K103" s="2"/>
      <c r="L103" s="2"/>
    </row>
    <row r="104" spans="1:12">
      <c r="A104">
        <v>100</v>
      </c>
      <c r="E104" s="2"/>
      <c r="F104" s="2"/>
      <c r="G104" s="2"/>
      <c r="K104" s="2"/>
      <c r="L104" s="2"/>
    </row>
    <row r="105" spans="1:12">
      <c r="A105">
        <v>101</v>
      </c>
      <c r="E105" s="2"/>
      <c r="F105" s="2"/>
      <c r="G105" s="2"/>
      <c r="K105" s="2"/>
      <c r="L105" s="2"/>
    </row>
    <row r="106" spans="1:12">
      <c r="A106">
        <v>102</v>
      </c>
      <c r="E106" s="2"/>
      <c r="F106" s="2"/>
      <c r="G106" s="2"/>
      <c r="K106" s="2"/>
      <c r="L106" s="2"/>
    </row>
    <row r="107" spans="1:12">
      <c r="A107">
        <v>103</v>
      </c>
      <c r="E107" s="2"/>
      <c r="F107" s="2"/>
      <c r="G107" s="2"/>
      <c r="K107" s="2"/>
      <c r="L107" s="2"/>
    </row>
    <row r="108" spans="1:12">
      <c r="A108">
        <v>104</v>
      </c>
      <c r="E108" s="2"/>
      <c r="F108" s="2"/>
      <c r="G108" s="2"/>
      <c r="K108" s="2"/>
      <c r="L108" s="2"/>
    </row>
    <row r="109" spans="1:12">
      <c r="A109">
        <v>105</v>
      </c>
      <c r="E109" s="2"/>
      <c r="F109" s="2"/>
      <c r="G109" s="2"/>
      <c r="K109" s="2"/>
      <c r="L109" s="2"/>
    </row>
    <row r="110" spans="1:12">
      <c r="A110">
        <v>106</v>
      </c>
      <c r="E110" s="2"/>
      <c r="F110" s="2"/>
      <c r="G110" s="2"/>
      <c r="K110" s="2"/>
      <c r="L110" s="2"/>
    </row>
    <row r="111" spans="1:12">
      <c r="A111">
        <v>107</v>
      </c>
      <c r="E111" s="2"/>
      <c r="F111" s="2"/>
      <c r="G111" s="2"/>
      <c r="K111" s="2"/>
      <c r="L111" s="2"/>
    </row>
    <row r="112" spans="1:12">
      <c r="A112">
        <v>108</v>
      </c>
      <c r="E112" s="2"/>
      <c r="F112" s="2"/>
      <c r="G112" s="2"/>
      <c r="K112" s="2"/>
      <c r="L112" s="2"/>
    </row>
    <row r="113" spans="1:12">
      <c r="A113">
        <v>109</v>
      </c>
      <c r="E113" s="2"/>
      <c r="F113" s="2"/>
      <c r="G113" s="2"/>
      <c r="K113" s="2"/>
      <c r="L113" s="2"/>
    </row>
    <row r="114" spans="1:12">
      <c r="A114">
        <v>110</v>
      </c>
      <c r="E114" s="2"/>
      <c r="F114" s="2"/>
      <c r="G114" s="2"/>
      <c r="K114" s="2"/>
      <c r="L114" s="2"/>
    </row>
    <row r="115" spans="1:12">
      <c r="A115">
        <v>111</v>
      </c>
      <c r="E115" s="2"/>
      <c r="F115" s="2"/>
      <c r="G115" s="2"/>
      <c r="K115" s="2"/>
      <c r="L115" s="2"/>
    </row>
    <row r="116" spans="1:12">
      <c r="A116">
        <v>112</v>
      </c>
      <c r="E116" s="2"/>
      <c r="F116" s="2"/>
      <c r="G116" s="2"/>
      <c r="K116" s="2"/>
      <c r="L116" s="2"/>
    </row>
    <row r="117" spans="1:12">
      <c r="A117">
        <v>113</v>
      </c>
      <c r="E117" s="2"/>
      <c r="F117" s="2"/>
      <c r="G117" s="2"/>
      <c r="K117" s="2"/>
      <c r="L117" s="2"/>
    </row>
    <row r="118" spans="1:12">
      <c r="A118">
        <v>114</v>
      </c>
      <c r="E118" s="2"/>
      <c r="F118" s="2"/>
      <c r="G118" s="2"/>
      <c r="K118" s="2"/>
      <c r="L118" s="2"/>
    </row>
    <row r="119" spans="1:12">
      <c r="A119">
        <v>115</v>
      </c>
      <c r="E119" s="2"/>
      <c r="F119" s="2"/>
      <c r="G119" s="2"/>
      <c r="K119" s="2"/>
      <c r="L119" s="2"/>
    </row>
    <row r="120" spans="1:12">
      <c r="A120">
        <v>116</v>
      </c>
      <c r="E120" s="2"/>
      <c r="F120" s="2"/>
      <c r="G120" s="2"/>
      <c r="K120" s="2"/>
      <c r="L120" s="2"/>
    </row>
    <row r="121" spans="1:12">
      <c r="A121">
        <v>117</v>
      </c>
      <c r="E121" s="2"/>
      <c r="F121" s="2"/>
      <c r="G121" s="2"/>
      <c r="K121" s="2"/>
      <c r="L121" s="2"/>
    </row>
    <row r="122" spans="1:12">
      <c r="A122">
        <v>118</v>
      </c>
      <c r="E122" s="2"/>
      <c r="F122" s="2"/>
      <c r="G122" s="2"/>
      <c r="K122" s="2"/>
      <c r="L122" s="2"/>
    </row>
    <row r="123" spans="1:12">
      <c r="A123">
        <v>119</v>
      </c>
      <c r="E123" s="2"/>
      <c r="F123" s="2"/>
      <c r="G123" s="2"/>
      <c r="K123" s="2"/>
      <c r="L123" s="2"/>
    </row>
    <row r="124" spans="1:12">
      <c r="A124">
        <v>120</v>
      </c>
      <c r="E124" s="2"/>
      <c r="F124" s="2"/>
      <c r="G124" s="2"/>
      <c r="K124" s="2"/>
      <c r="L124" s="2"/>
    </row>
    <row r="125" spans="1:12">
      <c r="A125">
        <v>121</v>
      </c>
      <c r="E125" s="2"/>
      <c r="F125" s="2"/>
      <c r="G125" s="2"/>
      <c r="K125" s="2"/>
      <c r="L125" s="2"/>
    </row>
    <row r="126" spans="1:12">
      <c r="A126">
        <v>122</v>
      </c>
      <c r="E126" s="2"/>
      <c r="F126" s="2"/>
      <c r="G126" s="2"/>
      <c r="K126" s="2"/>
      <c r="L126" s="2"/>
    </row>
    <row r="127" spans="1:12">
      <c r="A127">
        <v>123</v>
      </c>
      <c r="E127" s="2"/>
      <c r="F127" s="2"/>
      <c r="G127" s="2"/>
      <c r="K127" s="2"/>
      <c r="L127" s="2"/>
    </row>
    <row r="128" spans="1:12">
      <c r="A128">
        <v>124</v>
      </c>
      <c r="E128" s="2"/>
      <c r="F128" s="2"/>
      <c r="G128" s="2"/>
      <c r="K128" s="2"/>
      <c r="L128" s="2"/>
    </row>
    <row r="129" spans="1:12">
      <c r="A129">
        <v>125</v>
      </c>
      <c r="E129" s="2"/>
      <c r="F129" s="2"/>
      <c r="G129" s="2"/>
      <c r="K129" s="2"/>
      <c r="L129" s="2"/>
    </row>
    <row r="130" spans="1:12">
      <c r="A130">
        <v>126</v>
      </c>
      <c r="E130" s="2"/>
      <c r="F130" s="2"/>
      <c r="G130" s="2"/>
      <c r="K130" s="2"/>
      <c r="L130" s="2"/>
    </row>
    <row r="131" spans="1:12">
      <c r="A131">
        <v>127</v>
      </c>
      <c r="E131" s="2"/>
      <c r="F131" s="2"/>
      <c r="G131" s="2"/>
      <c r="K131" s="2"/>
      <c r="L131" s="2"/>
    </row>
    <row r="132" spans="1:12">
      <c r="A132">
        <v>128</v>
      </c>
      <c r="E132" s="2"/>
      <c r="F132" s="2"/>
      <c r="G132" s="2"/>
      <c r="K132" s="2"/>
      <c r="L132" s="2"/>
    </row>
    <row r="133" spans="1:12">
      <c r="A133">
        <v>129</v>
      </c>
      <c r="E133" s="2"/>
      <c r="F133" s="2"/>
      <c r="G133" s="2"/>
      <c r="K133" s="2"/>
      <c r="L133" s="2"/>
    </row>
    <row r="134" spans="1:12">
      <c r="A134">
        <v>130</v>
      </c>
      <c r="E134" s="2"/>
      <c r="F134" s="2"/>
      <c r="G134" s="2"/>
      <c r="K134" s="2"/>
      <c r="L134" s="2"/>
    </row>
    <row r="135" spans="1:12">
      <c r="A135">
        <v>131</v>
      </c>
      <c r="E135" s="2"/>
      <c r="F135" s="2"/>
      <c r="G135" s="2"/>
      <c r="K135" s="2"/>
      <c r="L135" s="2"/>
    </row>
    <row r="136" spans="1:12">
      <c r="A136">
        <v>132</v>
      </c>
      <c r="E136" s="2"/>
      <c r="F136" s="2"/>
      <c r="G136" s="2"/>
      <c r="K136" s="2"/>
      <c r="L136" s="2"/>
    </row>
    <row r="137" spans="1:12">
      <c r="A137">
        <v>133</v>
      </c>
      <c r="E137" s="2"/>
      <c r="F137" s="2"/>
      <c r="G137" s="2"/>
      <c r="K137" s="2"/>
      <c r="L137" s="2"/>
    </row>
    <row r="138" spans="1:12">
      <c r="A138">
        <v>134</v>
      </c>
      <c r="E138" s="2"/>
      <c r="F138" s="2"/>
      <c r="G138" s="2"/>
      <c r="K138" s="2"/>
      <c r="L138" s="2"/>
    </row>
    <row r="139" spans="1:12">
      <c r="A139">
        <v>135</v>
      </c>
      <c r="E139" s="2"/>
      <c r="F139" s="2"/>
      <c r="G139" s="2"/>
      <c r="K139" s="2"/>
      <c r="L139" s="2"/>
    </row>
    <row r="140" spans="1:12">
      <c r="A140">
        <v>136</v>
      </c>
      <c r="E140" s="2"/>
      <c r="F140" s="2"/>
      <c r="G140" s="2"/>
      <c r="K140" s="2"/>
      <c r="L140" s="2"/>
    </row>
    <row r="141" spans="1:12">
      <c r="A141">
        <v>137</v>
      </c>
      <c r="E141" s="2"/>
      <c r="F141" s="2"/>
      <c r="G141" s="2"/>
      <c r="K141" s="2"/>
      <c r="L141" s="2"/>
    </row>
    <row r="142" spans="1:12">
      <c r="A142">
        <v>138</v>
      </c>
      <c r="E142" s="2"/>
      <c r="F142" s="2"/>
      <c r="G142" s="2"/>
      <c r="K142" s="2"/>
      <c r="L142" s="2"/>
    </row>
    <row r="143" spans="1:12">
      <c r="A143">
        <v>139</v>
      </c>
      <c r="E143" s="2"/>
      <c r="F143" s="2"/>
      <c r="G143" s="2"/>
      <c r="K143" s="2"/>
      <c r="L143" s="2"/>
    </row>
    <row r="144" spans="1:12">
      <c r="A144">
        <v>140</v>
      </c>
      <c r="E144" s="2"/>
      <c r="F144" s="2"/>
      <c r="G144" s="2"/>
      <c r="K144" s="2"/>
      <c r="L144" s="2"/>
    </row>
    <row r="145" spans="1:12">
      <c r="A145">
        <v>141</v>
      </c>
      <c r="E145" s="2"/>
      <c r="F145" s="2"/>
      <c r="G145" s="2"/>
      <c r="K145" s="2"/>
      <c r="L145" s="2"/>
    </row>
    <row r="146" spans="1:12">
      <c r="A146">
        <v>142</v>
      </c>
      <c r="E146" s="2"/>
      <c r="F146" s="2"/>
      <c r="G146" s="2"/>
      <c r="K146" s="2"/>
      <c r="L146" s="2"/>
    </row>
    <row r="147" spans="1:12">
      <c r="A147">
        <v>143</v>
      </c>
      <c r="E147" s="2"/>
      <c r="F147" s="2"/>
      <c r="G147" s="2"/>
      <c r="K147" s="2"/>
      <c r="L147" s="2"/>
    </row>
    <row r="148" spans="1:12">
      <c r="A148">
        <v>144</v>
      </c>
      <c r="E148" s="2"/>
      <c r="F148" s="2"/>
      <c r="G148" s="2"/>
      <c r="K148" s="2"/>
      <c r="L148" s="2"/>
    </row>
    <row r="149" spans="1:12">
      <c r="A149">
        <v>145</v>
      </c>
      <c r="E149" s="2"/>
      <c r="F149" s="2"/>
      <c r="G149" s="2"/>
      <c r="K149" s="2"/>
      <c r="L149" s="2"/>
    </row>
    <row r="150" spans="1:12">
      <c r="A150">
        <v>146</v>
      </c>
      <c r="E150" s="2"/>
      <c r="F150" s="2"/>
      <c r="G150" s="2"/>
      <c r="K150" s="2"/>
      <c r="L150" s="2"/>
    </row>
    <row r="151" spans="1:12">
      <c r="A151">
        <v>147</v>
      </c>
      <c r="E151" s="2"/>
      <c r="F151" s="2"/>
      <c r="G151" s="2"/>
      <c r="K151" s="2"/>
      <c r="L151" s="2"/>
    </row>
    <row r="152" spans="1:12">
      <c r="A152">
        <v>148</v>
      </c>
      <c r="E152" s="2"/>
      <c r="F152" s="2"/>
      <c r="G152" s="2"/>
      <c r="K152" s="2"/>
      <c r="L152" s="2"/>
    </row>
    <row r="153" spans="1:12">
      <c r="A153">
        <v>149</v>
      </c>
      <c r="E153" s="2"/>
      <c r="F153" s="2"/>
      <c r="G153" s="2"/>
      <c r="K153" s="2"/>
      <c r="L153" s="2"/>
    </row>
    <row r="154" spans="1:12">
      <c r="A154">
        <v>150</v>
      </c>
      <c r="E154" s="2"/>
      <c r="F154" s="2"/>
      <c r="G154" s="2"/>
      <c r="K154" s="2"/>
      <c r="L154" s="2"/>
    </row>
    <row r="156" spans="1:12">
      <c r="A156" s="11" t="s">
        <v>144</v>
      </c>
    </row>
    <row r="157" spans="1:12">
      <c r="A157" t="s">
        <v>145</v>
      </c>
    </row>
    <row r="158" spans="1:12">
      <c r="A158" t="s">
        <v>146</v>
      </c>
    </row>
    <row r="159" spans="1:12">
      <c r="A159" t="s">
        <v>147</v>
      </c>
    </row>
    <row r="160" spans="1:12">
      <c r="A160" t="s">
        <v>148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8"/>
  <sheetViews>
    <sheetView workbookViewId="0"/>
  </sheetViews>
  <sheetFormatPr defaultRowHeight="15"/>
  <cols>
    <col min="1" max="1" width="12" customWidth="1"/>
    <col min="2" max="2" width="15" customWidth="1"/>
    <col min="3" max="3" width="30" customWidth="1"/>
    <col min="4" max="4" width="20" customWidth="1"/>
    <col min="5" max="5" width="30" customWidth="1"/>
    <col min="6" max="6" width="15" customWidth="1"/>
    <col min="7" max="7" width="12" customWidth="1"/>
    <col min="8" max="8" width="35" customWidth="1"/>
    <col min="9" max="9" width="12" customWidth="1"/>
    <col min="10" max="10" width="5" customWidth="1"/>
    <col min="11" max="11" width="20" customWidth="1"/>
  </cols>
  <sheetData>
    <row r="1" spans="1:11">
      <c r="A1" s="18" t="s">
        <v>149</v>
      </c>
      <c r="B1" s="16"/>
      <c r="C1" s="16"/>
      <c r="D1" s="16"/>
      <c r="E1" s="16"/>
      <c r="F1" s="16"/>
      <c r="G1" s="16"/>
      <c r="H1" s="16"/>
      <c r="I1" s="16"/>
    </row>
    <row r="3" spans="1:11">
      <c r="A3" t="s">
        <v>150</v>
      </c>
      <c r="B3" s="2" t="s">
        <v>151</v>
      </c>
    </row>
    <row r="5" spans="1:11">
      <c r="A5" s="8" t="s">
        <v>152</v>
      </c>
      <c r="B5" s="8" t="s">
        <v>153</v>
      </c>
      <c r="C5" s="8" t="s">
        <v>154</v>
      </c>
      <c r="D5" s="8" t="s">
        <v>155</v>
      </c>
      <c r="E5" s="8" t="s">
        <v>156</v>
      </c>
      <c r="F5" s="8" t="s">
        <v>157</v>
      </c>
      <c r="G5" s="8" t="s">
        <v>158</v>
      </c>
      <c r="H5" s="8" t="s">
        <v>159</v>
      </c>
      <c r="I5" s="8" t="s">
        <v>160</v>
      </c>
      <c r="K5" s="11" t="s">
        <v>161</v>
      </c>
    </row>
    <row r="6" spans="1:11">
      <c r="A6" s="2"/>
      <c r="F6" t="s">
        <v>162</v>
      </c>
      <c r="I6" t="s">
        <v>162</v>
      </c>
      <c r="K6" t="s">
        <v>163</v>
      </c>
    </row>
    <row r="7" spans="1:11">
      <c r="A7" s="2"/>
      <c r="F7" t="s">
        <v>162</v>
      </c>
      <c r="I7" t="s">
        <v>162</v>
      </c>
      <c r="K7" t="s">
        <v>164</v>
      </c>
    </row>
    <row r="8" spans="1:11">
      <c r="A8" s="2"/>
      <c r="F8" t="s">
        <v>162</v>
      </c>
      <c r="I8" t="s">
        <v>162</v>
      </c>
      <c r="K8" t="s">
        <v>85</v>
      </c>
    </row>
    <row r="9" spans="1:11">
      <c r="A9" s="2"/>
      <c r="F9" t="s">
        <v>162</v>
      </c>
      <c r="I9" t="s">
        <v>162</v>
      </c>
      <c r="K9" t="s">
        <v>165</v>
      </c>
    </row>
    <row r="10" spans="1:11">
      <c r="A10" s="2"/>
      <c r="F10" t="s">
        <v>162</v>
      </c>
      <c r="I10" t="s">
        <v>162</v>
      </c>
      <c r="K10" t="s">
        <v>166</v>
      </c>
    </row>
    <row r="11" spans="1:11">
      <c r="A11" s="2"/>
      <c r="F11" t="s">
        <v>162</v>
      </c>
      <c r="I11" t="s">
        <v>162</v>
      </c>
      <c r="K11" t="s">
        <v>167</v>
      </c>
    </row>
    <row r="12" spans="1:11">
      <c r="A12" s="2"/>
      <c r="F12" t="s">
        <v>162</v>
      </c>
      <c r="I12" t="s">
        <v>162</v>
      </c>
      <c r="K12" t="s">
        <v>168</v>
      </c>
    </row>
    <row r="13" spans="1:11">
      <c r="A13" s="2"/>
      <c r="F13" t="s">
        <v>162</v>
      </c>
      <c r="I13" t="s">
        <v>162</v>
      </c>
      <c r="K13" t="s">
        <v>169</v>
      </c>
    </row>
    <row r="14" spans="1:11">
      <c r="A14" s="2"/>
      <c r="F14" t="s">
        <v>162</v>
      </c>
      <c r="I14" t="s">
        <v>162</v>
      </c>
    </row>
    <row r="15" spans="1:11">
      <c r="A15" s="2"/>
      <c r="F15" t="s">
        <v>162</v>
      </c>
      <c r="I15" t="s">
        <v>162</v>
      </c>
    </row>
    <row r="16" spans="1:11">
      <c r="A16" s="2"/>
      <c r="F16" t="s">
        <v>162</v>
      </c>
      <c r="I16" t="s">
        <v>162</v>
      </c>
    </row>
    <row r="17" spans="1:9">
      <c r="A17" s="2"/>
      <c r="F17" t="s">
        <v>162</v>
      </c>
      <c r="I17" t="s">
        <v>162</v>
      </c>
    </row>
    <row r="18" spans="1:9">
      <c r="A18" s="2"/>
      <c r="F18" t="s">
        <v>162</v>
      </c>
      <c r="I18" t="s">
        <v>162</v>
      </c>
    </row>
    <row r="19" spans="1:9">
      <c r="A19" s="2"/>
      <c r="F19" t="s">
        <v>162</v>
      </c>
      <c r="I19" t="s">
        <v>162</v>
      </c>
    </row>
    <row r="20" spans="1:9">
      <c r="A20" s="2"/>
      <c r="F20" t="s">
        <v>162</v>
      </c>
      <c r="I20" t="s">
        <v>162</v>
      </c>
    </row>
    <row r="21" spans="1:9">
      <c r="A21" s="2"/>
      <c r="F21" t="s">
        <v>162</v>
      </c>
      <c r="I21" t="s">
        <v>162</v>
      </c>
    </row>
    <row r="22" spans="1:9">
      <c r="A22" s="2"/>
      <c r="F22" t="s">
        <v>162</v>
      </c>
      <c r="I22" t="s">
        <v>162</v>
      </c>
    </row>
    <row r="23" spans="1:9">
      <c r="A23" s="2"/>
      <c r="F23" t="s">
        <v>162</v>
      </c>
      <c r="I23" t="s">
        <v>162</v>
      </c>
    </row>
    <row r="24" spans="1:9">
      <c r="A24" s="2"/>
      <c r="F24" t="s">
        <v>162</v>
      </c>
      <c r="I24" t="s">
        <v>162</v>
      </c>
    </row>
    <row r="25" spans="1:9">
      <c r="A25" s="2"/>
      <c r="F25" t="s">
        <v>162</v>
      </c>
      <c r="I25" t="s">
        <v>162</v>
      </c>
    </row>
    <row r="26" spans="1:9">
      <c r="A26" s="2"/>
      <c r="F26" t="s">
        <v>162</v>
      </c>
      <c r="I26" t="s">
        <v>162</v>
      </c>
    </row>
    <row r="27" spans="1:9">
      <c r="A27" s="2"/>
      <c r="F27" t="s">
        <v>162</v>
      </c>
      <c r="I27" t="s">
        <v>162</v>
      </c>
    </row>
    <row r="28" spans="1:9">
      <c r="A28" s="2"/>
      <c r="F28" t="s">
        <v>162</v>
      </c>
      <c r="I28" t="s">
        <v>162</v>
      </c>
    </row>
    <row r="29" spans="1:9">
      <c r="A29" s="2"/>
      <c r="F29" t="s">
        <v>162</v>
      </c>
      <c r="I29" t="s">
        <v>162</v>
      </c>
    </row>
    <row r="30" spans="1:9">
      <c r="A30" s="2"/>
      <c r="F30" t="s">
        <v>162</v>
      </c>
      <c r="I30" t="s">
        <v>162</v>
      </c>
    </row>
    <row r="31" spans="1:9">
      <c r="A31" s="2"/>
      <c r="F31" t="s">
        <v>162</v>
      </c>
      <c r="I31" t="s">
        <v>162</v>
      </c>
    </row>
    <row r="32" spans="1:9">
      <c r="A32" s="2"/>
      <c r="F32" t="s">
        <v>162</v>
      </c>
      <c r="I32" t="s">
        <v>162</v>
      </c>
    </row>
    <row r="33" spans="1:9">
      <c r="A33" s="2"/>
      <c r="F33" t="s">
        <v>162</v>
      </c>
      <c r="I33" t="s">
        <v>162</v>
      </c>
    </row>
    <row r="34" spans="1:9">
      <c r="A34" s="2"/>
      <c r="F34" t="s">
        <v>162</v>
      </c>
      <c r="I34" t="s">
        <v>162</v>
      </c>
    </row>
    <row r="35" spans="1:9">
      <c r="A35" s="2"/>
      <c r="F35" t="s">
        <v>162</v>
      </c>
      <c r="I35" t="s">
        <v>162</v>
      </c>
    </row>
    <row r="36" spans="1:9">
      <c r="A36" s="2"/>
      <c r="F36" t="s">
        <v>162</v>
      </c>
      <c r="I36" t="s">
        <v>162</v>
      </c>
    </row>
    <row r="37" spans="1:9">
      <c r="A37" s="2"/>
      <c r="F37" t="s">
        <v>162</v>
      </c>
      <c r="I37" t="s">
        <v>162</v>
      </c>
    </row>
    <row r="38" spans="1:9">
      <c r="A38" s="2"/>
      <c r="F38" t="s">
        <v>162</v>
      </c>
      <c r="I38" t="s">
        <v>162</v>
      </c>
    </row>
    <row r="39" spans="1:9">
      <c r="A39" s="2"/>
      <c r="F39" t="s">
        <v>162</v>
      </c>
      <c r="I39" t="s">
        <v>162</v>
      </c>
    </row>
    <row r="40" spans="1:9">
      <c r="A40" s="2"/>
      <c r="F40" t="s">
        <v>162</v>
      </c>
      <c r="I40" t="s">
        <v>162</v>
      </c>
    </row>
    <row r="41" spans="1:9">
      <c r="A41" s="2"/>
      <c r="F41" t="s">
        <v>162</v>
      </c>
      <c r="I41" t="s">
        <v>162</v>
      </c>
    </row>
    <row r="42" spans="1:9">
      <c r="A42" s="2"/>
      <c r="F42" t="s">
        <v>162</v>
      </c>
      <c r="I42" t="s">
        <v>162</v>
      </c>
    </row>
    <row r="43" spans="1:9">
      <c r="A43" s="2"/>
      <c r="F43" t="s">
        <v>162</v>
      </c>
      <c r="I43" t="s">
        <v>162</v>
      </c>
    </row>
    <row r="44" spans="1:9">
      <c r="A44" s="2"/>
      <c r="F44" t="s">
        <v>162</v>
      </c>
      <c r="I44" t="s">
        <v>162</v>
      </c>
    </row>
    <row r="45" spans="1:9">
      <c r="A45" s="2"/>
      <c r="F45" t="s">
        <v>162</v>
      </c>
      <c r="I45" t="s">
        <v>162</v>
      </c>
    </row>
    <row r="46" spans="1:9">
      <c r="A46" s="2"/>
      <c r="F46" t="s">
        <v>162</v>
      </c>
      <c r="I46" t="s">
        <v>162</v>
      </c>
    </row>
    <row r="47" spans="1:9">
      <c r="A47" s="2"/>
      <c r="F47" t="s">
        <v>162</v>
      </c>
      <c r="I47" t="s">
        <v>162</v>
      </c>
    </row>
    <row r="48" spans="1:9">
      <c r="A48" s="2"/>
      <c r="F48" t="s">
        <v>162</v>
      </c>
      <c r="I48" t="s">
        <v>162</v>
      </c>
    </row>
    <row r="49" spans="1:9">
      <c r="A49" s="2"/>
      <c r="F49" t="s">
        <v>162</v>
      </c>
      <c r="I49" t="s">
        <v>162</v>
      </c>
    </row>
    <row r="50" spans="1:9">
      <c r="A50" s="2"/>
      <c r="F50" t="s">
        <v>162</v>
      </c>
      <c r="I50" t="s">
        <v>162</v>
      </c>
    </row>
    <row r="51" spans="1:9">
      <c r="A51" s="2"/>
      <c r="F51" t="s">
        <v>162</v>
      </c>
      <c r="I51" t="s">
        <v>162</v>
      </c>
    </row>
    <row r="52" spans="1:9">
      <c r="A52" s="2"/>
      <c r="F52" t="s">
        <v>162</v>
      </c>
      <c r="I52" t="s">
        <v>162</v>
      </c>
    </row>
    <row r="53" spans="1:9">
      <c r="A53" s="2"/>
      <c r="F53" t="s">
        <v>162</v>
      </c>
      <c r="I53" t="s">
        <v>162</v>
      </c>
    </row>
    <row r="54" spans="1:9">
      <c r="A54" s="2"/>
      <c r="F54" t="s">
        <v>162</v>
      </c>
      <c r="I54" t="s">
        <v>162</v>
      </c>
    </row>
    <row r="55" spans="1:9">
      <c r="A55" s="2"/>
      <c r="F55" t="s">
        <v>162</v>
      </c>
      <c r="I55" t="s">
        <v>162</v>
      </c>
    </row>
    <row r="56" spans="1:9">
      <c r="A56" s="2"/>
      <c r="F56" t="s">
        <v>162</v>
      </c>
      <c r="I56" t="s">
        <v>162</v>
      </c>
    </row>
    <row r="57" spans="1:9">
      <c r="A57" s="2"/>
      <c r="F57" t="s">
        <v>162</v>
      </c>
      <c r="I57" t="s">
        <v>162</v>
      </c>
    </row>
    <row r="58" spans="1:9">
      <c r="A58" s="2"/>
      <c r="F58" t="s">
        <v>162</v>
      </c>
      <c r="I58" t="s">
        <v>162</v>
      </c>
    </row>
    <row r="59" spans="1:9">
      <c r="A59" s="2"/>
      <c r="F59" t="s">
        <v>162</v>
      </c>
      <c r="I59" t="s">
        <v>162</v>
      </c>
    </row>
    <row r="60" spans="1:9">
      <c r="A60" s="2"/>
      <c r="F60" t="s">
        <v>162</v>
      </c>
      <c r="I60" t="s">
        <v>162</v>
      </c>
    </row>
    <row r="61" spans="1:9">
      <c r="A61" s="2"/>
      <c r="F61" t="s">
        <v>162</v>
      </c>
      <c r="I61" t="s">
        <v>162</v>
      </c>
    </row>
    <row r="62" spans="1:9">
      <c r="A62" s="2"/>
      <c r="F62" t="s">
        <v>162</v>
      </c>
      <c r="I62" t="s">
        <v>162</v>
      </c>
    </row>
    <row r="63" spans="1:9">
      <c r="A63" s="2"/>
      <c r="F63" t="s">
        <v>162</v>
      </c>
      <c r="I63" t="s">
        <v>162</v>
      </c>
    </row>
    <row r="64" spans="1:9">
      <c r="A64" s="2"/>
      <c r="F64" t="s">
        <v>162</v>
      </c>
      <c r="I64" t="s">
        <v>162</v>
      </c>
    </row>
    <row r="65" spans="1:9">
      <c r="A65" s="2"/>
      <c r="F65" t="s">
        <v>162</v>
      </c>
      <c r="I65" t="s">
        <v>162</v>
      </c>
    </row>
    <row r="66" spans="1:9">
      <c r="A66" s="2"/>
      <c r="F66" t="s">
        <v>162</v>
      </c>
      <c r="I66" t="s">
        <v>162</v>
      </c>
    </row>
    <row r="67" spans="1:9">
      <c r="A67" s="2"/>
      <c r="F67" t="s">
        <v>162</v>
      </c>
      <c r="I67" t="s">
        <v>162</v>
      </c>
    </row>
    <row r="68" spans="1:9">
      <c r="A68" s="2"/>
      <c r="F68" t="s">
        <v>162</v>
      </c>
      <c r="I68" t="s">
        <v>162</v>
      </c>
    </row>
    <row r="69" spans="1:9">
      <c r="A69" s="2"/>
      <c r="F69" t="s">
        <v>162</v>
      </c>
      <c r="I69" t="s">
        <v>162</v>
      </c>
    </row>
    <row r="70" spans="1:9">
      <c r="A70" s="2"/>
      <c r="F70" t="s">
        <v>162</v>
      </c>
      <c r="I70" t="s">
        <v>162</v>
      </c>
    </row>
    <row r="71" spans="1:9">
      <c r="A71" s="2"/>
      <c r="F71" t="s">
        <v>162</v>
      </c>
      <c r="I71" t="s">
        <v>162</v>
      </c>
    </row>
    <row r="72" spans="1:9">
      <c r="A72" s="2"/>
      <c r="F72" t="s">
        <v>162</v>
      </c>
      <c r="I72" t="s">
        <v>162</v>
      </c>
    </row>
    <row r="73" spans="1:9">
      <c r="A73" s="2"/>
      <c r="F73" t="s">
        <v>162</v>
      </c>
      <c r="I73" t="s">
        <v>162</v>
      </c>
    </row>
    <row r="74" spans="1:9">
      <c r="A74" s="2"/>
      <c r="F74" t="s">
        <v>162</v>
      </c>
      <c r="I74" t="s">
        <v>162</v>
      </c>
    </row>
    <row r="75" spans="1:9">
      <c r="A75" s="2"/>
      <c r="F75" t="s">
        <v>162</v>
      </c>
      <c r="I75" t="s">
        <v>162</v>
      </c>
    </row>
    <row r="76" spans="1:9">
      <c r="A76" s="2"/>
      <c r="F76" t="s">
        <v>162</v>
      </c>
      <c r="I76" t="s">
        <v>162</v>
      </c>
    </row>
    <row r="77" spans="1:9">
      <c r="A77" s="2"/>
      <c r="F77" t="s">
        <v>162</v>
      </c>
      <c r="I77" t="s">
        <v>162</v>
      </c>
    </row>
    <row r="78" spans="1:9">
      <c r="A78" s="2"/>
      <c r="F78" t="s">
        <v>162</v>
      </c>
      <c r="I78" t="s">
        <v>162</v>
      </c>
    </row>
    <row r="79" spans="1:9">
      <c r="A79" s="2"/>
      <c r="F79" t="s">
        <v>162</v>
      </c>
      <c r="I79" t="s">
        <v>162</v>
      </c>
    </row>
    <row r="80" spans="1:9">
      <c r="A80" s="2"/>
      <c r="F80" t="s">
        <v>162</v>
      </c>
      <c r="I80" t="s">
        <v>162</v>
      </c>
    </row>
    <row r="81" spans="1:9">
      <c r="A81" s="2"/>
      <c r="F81" t="s">
        <v>162</v>
      </c>
      <c r="I81" t="s">
        <v>162</v>
      </c>
    </row>
    <row r="82" spans="1:9">
      <c r="A82" s="2"/>
      <c r="F82" t="s">
        <v>162</v>
      </c>
      <c r="I82" t="s">
        <v>162</v>
      </c>
    </row>
    <row r="83" spans="1:9">
      <c r="A83" s="2"/>
      <c r="F83" t="s">
        <v>162</v>
      </c>
      <c r="I83" t="s">
        <v>162</v>
      </c>
    </row>
    <row r="84" spans="1:9">
      <c r="A84" s="2"/>
      <c r="F84" t="s">
        <v>162</v>
      </c>
      <c r="I84" t="s">
        <v>162</v>
      </c>
    </row>
    <row r="85" spans="1:9">
      <c r="A85" s="2"/>
      <c r="F85" t="s">
        <v>162</v>
      </c>
      <c r="I85" t="s">
        <v>162</v>
      </c>
    </row>
    <row r="86" spans="1:9">
      <c r="A86" s="2"/>
      <c r="F86" t="s">
        <v>162</v>
      </c>
      <c r="I86" t="s">
        <v>162</v>
      </c>
    </row>
    <row r="87" spans="1:9">
      <c r="A87" s="2"/>
      <c r="F87" t="s">
        <v>162</v>
      </c>
      <c r="I87" t="s">
        <v>162</v>
      </c>
    </row>
    <row r="88" spans="1:9">
      <c r="A88" s="2"/>
      <c r="F88" t="s">
        <v>162</v>
      </c>
      <c r="I88" t="s">
        <v>162</v>
      </c>
    </row>
    <row r="89" spans="1:9">
      <c r="A89" s="2"/>
      <c r="F89" t="s">
        <v>162</v>
      </c>
      <c r="I89" t="s">
        <v>162</v>
      </c>
    </row>
    <row r="90" spans="1:9">
      <c r="A90" s="2"/>
      <c r="F90" t="s">
        <v>162</v>
      </c>
      <c r="I90" t="s">
        <v>162</v>
      </c>
    </row>
    <row r="91" spans="1:9">
      <c r="A91" s="2"/>
      <c r="F91" t="s">
        <v>162</v>
      </c>
      <c r="I91" t="s">
        <v>162</v>
      </c>
    </row>
    <row r="92" spans="1:9">
      <c r="A92" s="2"/>
      <c r="F92" t="s">
        <v>162</v>
      </c>
      <c r="I92" t="s">
        <v>162</v>
      </c>
    </row>
    <row r="93" spans="1:9">
      <c r="A93" s="2"/>
      <c r="F93" t="s">
        <v>162</v>
      </c>
      <c r="I93" t="s">
        <v>162</v>
      </c>
    </row>
    <row r="94" spans="1:9">
      <c r="A94" s="2"/>
      <c r="F94" t="s">
        <v>162</v>
      </c>
      <c r="I94" t="s">
        <v>162</v>
      </c>
    </row>
    <row r="95" spans="1:9">
      <c r="A95" s="2"/>
      <c r="F95" t="s">
        <v>162</v>
      </c>
      <c r="I95" t="s">
        <v>162</v>
      </c>
    </row>
    <row r="96" spans="1:9">
      <c r="A96" s="2"/>
      <c r="F96" t="s">
        <v>162</v>
      </c>
      <c r="I96" t="s">
        <v>162</v>
      </c>
    </row>
    <row r="97" spans="1:9">
      <c r="A97" s="2"/>
      <c r="F97" t="s">
        <v>162</v>
      </c>
      <c r="I97" t="s">
        <v>162</v>
      </c>
    </row>
    <row r="98" spans="1:9">
      <c r="A98" s="2"/>
      <c r="F98" t="s">
        <v>162</v>
      </c>
      <c r="I98" t="s">
        <v>162</v>
      </c>
    </row>
    <row r="99" spans="1:9">
      <c r="A99" s="2"/>
      <c r="F99" t="s">
        <v>162</v>
      </c>
      <c r="I99" t="s">
        <v>162</v>
      </c>
    </row>
    <row r="101" spans="1:9">
      <c r="A101" s="18" t="s">
        <v>170</v>
      </c>
      <c r="B101" s="16"/>
      <c r="C101" s="16"/>
      <c r="D101" s="16"/>
      <c r="E101" s="16"/>
      <c r="F101" s="16"/>
      <c r="G101" s="16"/>
      <c r="H101" s="16"/>
      <c r="I101" s="16"/>
    </row>
    <row r="102" spans="1:9">
      <c r="A102" s="4" t="s">
        <v>153</v>
      </c>
      <c r="B102" s="4" t="s">
        <v>171</v>
      </c>
      <c r="C102" s="4" t="s">
        <v>43</v>
      </c>
      <c r="D102" s="4" t="s">
        <v>172</v>
      </c>
      <c r="E102" s="4" t="s">
        <v>159</v>
      </c>
    </row>
    <row r="103" spans="1:9">
      <c r="A103" t="s">
        <v>173</v>
      </c>
      <c r="B103">
        <f>COUNTIF(B6:B100,"Meeting")</f>
        <v>0</v>
      </c>
      <c r="C103">
        <v>8</v>
      </c>
      <c r="D103">
        <f>B103-C103</f>
        <v>-8</v>
      </c>
      <c r="E103" s="2"/>
    </row>
    <row r="104" spans="1:9">
      <c r="A104" t="s">
        <v>174</v>
      </c>
      <c r="B104">
        <f>COUNTIF(B6:B100,"Call")</f>
        <v>0</v>
      </c>
      <c r="C104">
        <v>20</v>
      </c>
      <c r="D104">
        <f>B104-C104</f>
        <v>-20</v>
      </c>
      <c r="E104" s="2"/>
    </row>
    <row r="105" spans="1:9">
      <c r="A105" t="s">
        <v>175</v>
      </c>
      <c r="B105">
        <f>COUNTIF(B6:B100,"Email")</f>
        <v>0</v>
      </c>
      <c r="C105">
        <v>30</v>
      </c>
      <c r="D105">
        <f>B105-C105</f>
        <v>-30</v>
      </c>
      <c r="E105" s="2"/>
    </row>
    <row r="106" spans="1:9">
      <c r="A106" t="s">
        <v>176</v>
      </c>
      <c r="B106">
        <f>COUNTIF(B6:B100,"Demo")</f>
        <v>0</v>
      </c>
      <c r="C106">
        <v>3</v>
      </c>
      <c r="D106">
        <f>B106-C106</f>
        <v>-3</v>
      </c>
      <c r="E106" s="2"/>
    </row>
    <row r="107" spans="1:9">
      <c r="A107" t="s">
        <v>25</v>
      </c>
      <c r="B107">
        <f>COUNTIF(B6:B100,"Proposal")</f>
        <v>0</v>
      </c>
      <c r="C107">
        <v>3</v>
      </c>
      <c r="D107">
        <f>B107-C107</f>
        <v>-3</v>
      </c>
      <c r="E107" s="2"/>
    </row>
    <row r="108" spans="1:9">
      <c r="A108" t="s">
        <v>177</v>
      </c>
      <c r="B108">
        <f>COUNTIF(B6:B100,"Event")</f>
        <v>0</v>
      </c>
      <c r="C108">
        <v>1</v>
      </c>
      <c r="D108">
        <f>B108-C108</f>
        <v>-1</v>
      </c>
      <c r="E108" s="2"/>
    </row>
  </sheetData>
  <mergeCells count="2">
    <mergeCell ref="A1:I1"/>
    <mergeCell ref="A101:I1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workbookViewId="0"/>
  </sheetViews>
  <sheetFormatPr defaultRowHeight="15"/>
  <cols>
    <col min="1" max="1" width="35" customWidth="1"/>
    <col min="2" max="5" width="12" customWidth="1"/>
    <col min="6" max="6" width="15" customWidth="1"/>
    <col min="7" max="8" width="12" customWidth="1"/>
  </cols>
  <sheetData>
    <row r="1" spans="1:13">
      <c r="A1" s="18" t="s">
        <v>178</v>
      </c>
      <c r="B1" s="16"/>
      <c r="C1" s="16"/>
      <c r="D1" s="16"/>
      <c r="E1" s="16"/>
      <c r="F1" s="16"/>
      <c r="G1" s="16"/>
      <c r="H1" s="16"/>
    </row>
    <row r="3" spans="1:13">
      <c r="A3" s="8" t="s">
        <v>17</v>
      </c>
      <c r="B3" s="8" t="s">
        <v>14</v>
      </c>
      <c r="C3" s="8" t="s">
        <v>179</v>
      </c>
      <c r="D3" s="8" t="s">
        <v>180</v>
      </c>
      <c r="E3" s="8" t="s">
        <v>181</v>
      </c>
      <c r="F3" s="8" t="s">
        <v>182</v>
      </c>
      <c r="G3" s="8" t="s">
        <v>183</v>
      </c>
      <c r="H3" s="8" t="s">
        <v>172</v>
      </c>
    </row>
    <row r="4" spans="1:13">
      <c r="A4" t="s">
        <v>20</v>
      </c>
      <c r="B4">
        <v>8</v>
      </c>
      <c r="C4">
        <v>12</v>
      </c>
      <c r="D4">
        <v>15</v>
      </c>
      <c r="E4">
        <v>15</v>
      </c>
      <c r="F4">
        <f>SUM(B4:E4)</f>
        <v>50</v>
      </c>
      <c r="G4" s="2"/>
      <c r="H4">
        <f>G4-F4</f>
        <v>-50</v>
      </c>
    </row>
    <row r="5" spans="1:13">
      <c r="A5" t="s">
        <v>22</v>
      </c>
      <c r="B5">
        <v>5</v>
      </c>
      <c r="C5">
        <v>7</v>
      </c>
      <c r="D5">
        <v>9</v>
      </c>
      <c r="E5">
        <v>9</v>
      </c>
      <c r="F5">
        <f>SUM(B5:E5)</f>
        <v>30</v>
      </c>
      <c r="G5" s="2"/>
      <c r="H5">
        <f>G5-F5</f>
        <v>-30</v>
      </c>
    </row>
    <row r="6" spans="1:13">
      <c r="A6" t="s">
        <v>24</v>
      </c>
      <c r="B6">
        <v>3</v>
      </c>
      <c r="C6">
        <v>6</v>
      </c>
      <c r="D6">
        <v>8</v>
      </c>
      <c r="E6">
        <v>8</v>
      </c>
      <c r="F6">
        <f>SUM(B6:E6)</f>
        <v>25</v>
      </c>
      <c r="G6" s="2"/>
      <c r="H6">
        <f>G6-F6</f>
        <v>-25</v>
      </c>
    </row>
    <row r="7" spans="1:13">
      <c r="A7" t="s">
        <v>184</v>
      </c>
      <c r="B7">
        <v>2</v>
      </c>
      <c r="C7">
        <v>4</v>
      </c>
      <c r="D7">
        <v>5</v>
      </c>
      <c r="E7">
        <v>4</v>
      </c>
      <c r="F7">
        <f>SUM(B7:E7)</f>
        <v>15</v>
      </c>
      <c r="G7" s="2"/>
      <c r="H7">
        <f>G7-F7</f>
        <v>-15</v>
      </c>
    </row>
    <row r="8" spans="1:13">
      <c r="A8" t="s">
        <v>185</v>
      </c>
      <c r="B8">
        <v>2</v>
      </c>
      <c r="C8">
        <v>5</v>
      </c>
      <c r="D8">
        <v>7</v>
      </c>
      <c r="E8">
        <v>6</v>
      </c>
      <c r="F8">
        <f>SUM(B8:E8)</f>
        <v>20</v>
      </c>
      <c r="G8" s="2"/>
      <c r="H8">
        <f>G8-F8</f>
        <v>-20</v>
      </c>
    </row>
    <row r="9" spans="1:13">
      <c r="A9" s="5" t="s">
        <v>29</v>
      </c>
      <c r="B9" s="5">
        <f>SUM(B4:B8)</f>
        <v>20</v>
      </c>
      <c r="C9" s="5">
        <f>SUM(C4:C8)</f>
        <v>34</v>
      </c>
      <c r="D9" s="5">
        <f>SUM(D4:D8)</f>
        <v>44</v>
      </c>
      <c r="E9" s="5">
        <f>SUM(E4:E8)</f>
        <v>42</v>
      </c>
      <c r="F9" s="5">
        <f>SUM(F4:F8)</f>
        <v>140</v>
      </c>
      <c r="G9" s="5">
        <f>SUM(G4:G8)</f>
        <v>0</v>
      </c>
      <c r="H9" s="5">
        <f>SUM(H4:H8)</f>
        <v>-140</v>
      </c>
    </row>
    <row r="11" spans="1:13">
      <c r="A11" s="12" t="s">
        <v>186</v>
      </c>
    </row>
    <row r="14" spans="1:13">
      <c r="A14" s="18" t="s">
        <v>187</v>
      </c>
      <c r="B14" s="16"/>
      <c r="C14" s="16"/>
      <c r="D14" s="16"/>
      <c r="E14" s="16"/>
      <c r="F14" s="16"/>
      <c r="G14" s="16"/>
    </row>
    <row r="16" spans="1:13">
      <c r="A16" s="3" t="s">
        <v>188</v>
      </c>
      <c r="B16" s="3" t="s">
        <v>189</v>
      </c>
      <c r="C16" s="3" t="s">
        <v>190</v>
      </c>
      <c r="D16" s="3" t="s">
        <v>191</v>
      </c>
      <c r="E16" s="3" t="s">
        <v>192</v>
      </c>
      <c r="F16" s="3" t="s">
        <v>193</v>
      </c>
      <c r="G16" s="3" t="s">
        <v>194</v>
      </c>
      <c r="H16" s="3" t="s">
        <v>195</v>
      </c>
      <c r="I16" s="3" t="s">
        <v>196</v>
      </c>
      <c r="J16" s="3" t="s">
        <v>197</v>
      </c>
      <c r="K16" s="3" t="s">
        <v>198</v>
      </c>
      <c r="L16" s="3" t="s">
        <v>199</v>
      </c>
      <c r="M16" s="3" t="s">
        <v>200</v>
      </c>
    </row>
    <row r="17" spans="1:13">
      <c r="A17" t="s">
        <v>43</v>
      </c>
      <c r="B17">
        <v>1.7</v>
      </c>
      <c r="C17">
        <v>1.7</v>
      </c>
      <c r="D17">
        <v>1.7</v>
      </c>
      <c r="E17">
        <v>3</v>
      </c>
      <c r="F17">
        <v>3</v>
      </c>
      <c r="G17">
        <v>3</v>
      </c>
      <c r="H17">
        <v>3.5</v>
      </c>
      <c r="I17">
        <v>3.5</v>
      </c>
      <c r="J17">
        <v>3.5</v>
      </c>
      <c r="K17">
        <v>3</v>
      </c>
      <c r="L17">
        <v>3</v>
      </c>
      <c r="M17">
        <v>3</v>
      </c>
    </row>
    <row r="18" spans="1:13">
      <c r="A18" t="s">
        <v>44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t="s">
        <v>172</v>
      </c>
      <c r="B19">
        <f>B18-B17</f>
        <v>-1.7</v>
      </c>
      <c r="C19">
        <f>C18-C17</f>
        <v>-1.7</v>
      </c>
      <c r="D19">
        <f>D18-D17</f>
        <v>-1.7</v>
      </c>
      <c r="E19">
        <f>E18-E17</f>
        <v>-3</v>
      </c>
      <c r="F19">
        <f>F18-F17</f>
        <v>-3</v>
      </c>
      <c r="G19">
        <f>G18-G17</f>
        <v>-3</v>
      </c>
      <c r="H19">
        <f>H18-H17</f>
        <v>-3.5</v>
      </c>
      <c r="I19">
        <f>I18-I17</f>
        <v>-3.5</v>
      </c>
      <c r="J19">
        <f>J18-J17</f>
        <v>-3.5</v>
      </c>
      <c r="K19">
        <f>K18-K17</f>
        <v>-3</v>
      </c>
      <c r="L19">
        <f>L18-L17</f>
        <v>-3</v>
      </c>
      <c r="M19">
        <f>M18-M17</f>
        <v>-3</v>
      </c>
    </row>
  </sheetData>
  <mergeCells count="2">
    <mergeCell ref="A14:G1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2"/>
  <sheetViews>
    <sheetView workbookViewId="0"/>
  </sheetViews>
  <sheetFormatPr defaultRowHeight="15"/>
  <cols>
    <col min="1" max="1" width="10" customWidth="1"/>
    <col min="2" max="2" width="30" customWidth="1"/>
    <col min="3" max="3" width="12" customWidth="1"/>
    <col min="4" max="4" width="20" customWidth="1"/>
    <col min="5" max="5" width="35" customWidth="1"/>
    <col min="6" max="6" width="12" customWidth="1"/>
    <col min="7" max="7" width="10" customWidth="1"/>
    <col min="8" max="8" width="12" customWidth="1"/>
    <col min="9" max="9" width="15" customWidth="1"/>
    <col min="10" max="12" width="12" customWidth="1"/>
    <col min="13" max="13" width="25" customWidth="1"/>
    <col min="14" max="14" width="30" customWidth="1"/>
  </cols>
  <sheetData>
    <row r="1" spans="1:14">
      <c r="A1" s="18" t="s">
        <v>201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3" spans="1:14">
      <c r="A3" s="8" t="s">
        <v>202</v>
      </c>
      <c r="B3" s="8" t="s">
        <v>154</v>
      </c>
      <c r="C3" s="8" t="s">
        <v>81</v>
      </c>
      <c r="D3" s="8" t="s">
        <v>203</v>
      </c>
      <c r="E3" s="8" t="s">
        <v>204</v>
      </c>
      <c r="F3" s="8" t="s">
        <v>205</v>
      </c>
      <c r="G3" s="8" t="s">
        <v>206</v>
      </c>
      <c r="H3" s="8" t="s">
        <v>207</v>
      </c>
      <c r="I3" s="8" t="s">
        <v>208</v>
      </c>
      <c r="J3" s="8" t="s">
        <v>209</v>
      </c>
      <c r="K3" s="8" t="s">
        <v>210</v>
      </c>
      <c r="L3" s="8" t="s">
        <v>211</v>
      </c>
      <c r="M3" s="8" t="s">
        <v>89</v>
      </c>
      <c r="N3" s="8" t="s">
        <v>159</v>
      </c>
    </row>
    <row r="4" spans="1:14">
      <c r="A4" s="6" t="s">
        <v>212</v>
      </c>
      <c r="B4" s="6" t="s">
        <v>213</v>
      </c>
      <c r="C4" s="6" t="s">
        <v>91</v>
      </c>
      <c r="D4" s="6" t="s">
        <v>214</v>
      </c>
      <c r="E4" s="6" t="s">
        <v>215</v>
      </c>
      <c r="F4" s="6">
        <v>15</v>
      </c>
      <c r="G4" s="6">
        <v>30</v>
      </c>
      <c r="H4" s="6">
        <f>F4*G4/100</f>
        <v>4.5</v>
      </c>
      <c r="I4" s="6" t="s">
        <v>216</v>
      </c>
      <c r="J4" s="6" t="s">
        <v>217</v>
      </c>
      <c r="K4" s="7"/>
      <c r="L4" s="7"/>
      <c r="M4" s="7" t="s">
        <v>218</v>
      </c>
      <c r="N4" s="7"/>
    </row>
    <row r="5" spans="1:14">
      <c r="A5" s="6" t="s">
        <v>219</v>
      </c>
      <c r="B5" s="6" t="s">
        <v>220</v>
      </c>
      <c r="C5" s="6" t="s">
        <v>105</v>
      </c>
      <c r="D5" s="6" t="s">
        <v>221</v>
      </c>
      <c r="E5" s="6" t="s">
        <v>222</v>
      </c>
      <c r="F5" s="6">
        <v>10</v>
      </c>
      <c r="G5" s="6">
        <v>40</v>
      </c>
      <c r="H5" s="6">
        <f>F5*G5/100</f>
        <v>4</v>
      </c>
      <c r="I5" s="6" t="s">
        <v>223</v>
      </c>
      <c r="J5" s="6" t="s">
        <v>217</v>
      </c>
      <c r="K5" s="7"/>
      <c r="L5" s="7"/>
      <c r="M5" s="7" t="s">
        <v>224</v>
      </c>
      <c r="N5" s="7"/>
    </row>
    <row r="6" spans="1:14">
      <c r="A6" s="6" t="s">
        <v>225</v>
      </c>
      <c r="B6" s="6" t="s">
        <v>226</v>
      </c>
      <c r="C6" s="6" t="s">
        <v>110</v>
      </c>
      <c r="D6" s="6" t="s">
        <v>227</v>
      </c>
      <c r="E6" s="6" t="s">
        <v>228</v>
      </c>
      <c r="F6" s="6">
        <v>18</v>
      </c>
      <c r="G6" s="6">
        <v>35</v>
      </c>
      <c r="H6" s="6">
        <f>F6*G6/100</f>
        <v>6.3</v>
      </c>
      <c r="I6" s="6" t="s">
        <v>229</v>
      </c>
      <c r="J6" s="6" t="s">
        <v>217</v>
      </c>
      <c r="K6" s="7"/>
      <c r="L6" s="7"/>
      <c r="M6" s="7" t="s">
        <v>230</v>
      </c>
      <c r="N6" s="7"/>
    </row>
    <row r="7" spans="1:14">
      <c r="A7" s="6" t="s">
        <v>231</v>
      </c>
      <c r="B7" s="6" t="s">
        <v>232</v>
      </c>
      <c r="C7" s="6" t="s">
        <v>91</v>
      </c>
      <c r="D7" s="6" t="s">
        <v>233</v>
      </c>
      <c r="E7" s="6" t="s">
        <v>234</v>
      </c>
      <c r="F7" s="6">
        <v>12</v>
      </c>
      <c r="G7" s="6">
        <v>25</v>
      </c>
      <c r="H7" s="6">
        <f>F7*G7/100</f>
        <v>3</v>
      </c>
      <c r="I7" s="6" t="s">
        <v>216</v>
      </c>
      <c r="J7" s="6" t="s">
        <v>217</v>
      </c>
      <c r="K7" s="7"/>
      <c r="L7" s="7"/>
      <c r="M7" s="7" t="s">
        <v>235</v>
      </c>
      <c r="N7" s="7"/>
    </row>
    <row r="8" spans="1:14">
      <c r="A8" s="6" t="s">
        <v>236</v>
      </c>
      <c r="B8" s="6" t="s">
        <v>237</v>
      </c>
      <c r="C8" s="6" t="s">
        <v>114</v>
      </c>
      <c r="D8" s="6" t="s">
        <v>214</v>
      </c>
      <c r="E8" s="6" t="s">
        <v>238</v>
      </c>
      <c r="F8" s="6">
        <v>20</v>
      </c>
      <c r="G8" s="6">
        <v>30</v>
      </c>
      <c r="H8" s="6">
        <f>F8*G8/100</f>
        <v>6</v>
      </c>
      <c r="I8" s="6" t="s">
        <v>166</v>
      </c>
      <c r="J8" s="6" t="s">
        <v>217</v>
      </c>
      <c r="K8" s="7"/>
      <c r="L8" s="7"/>
      <c r="M8" s="7" t="s">
        <v>239</v>
      </c>
      <c r="N8" s="7"/>
    </row>
    <row r="9" spans="1:14">
      <c r="H9">
        <f>F9*G9/100</f>
        <v>0</v>
      </c>
      <c r="K9" s="2"/>
      <c r="L9" s="2"/>
      <c r="M9" s="2"/>
      <c r="N9" s="2"/>
    </row>
    <row r="10" spans="1:14">
      <c r="H10">
        <f>F10*G10/100</f>
        <v>0</v>
      </c>
      <c r="K10" s="2"/>
      <c r="L10" s="2"/>
      <c r="M10" s="2"/>
      <c r="N10" s="2"/>
    </row>
    <row r="11" spans="1:14">
      <c r="H11">
        <f>F11*G11/100</f>
        <v>0</v>
      </c>
      <c r="K11" s="2"/>
      <c r="L11" s="2"/>
      <c r="M11" s="2"/>
      <c r="N11" s="2"/>
    </row>
    <row r="12" spans="1:14">
      <c r="H12">
        <f>F12*G12/100</f>
        <v>0</v>
      </c>
      <c r="K12" s="2"/>
      <c r="L12" s="2"/>
      <c r="M12" s="2"/>
      <c r="N12" s="2"/>
    </row>
    <row r="13" spans="1:14">
      <c r="H13">
        <f>F13*G13/100</f>
        <v>0</v>
      </c>
      <c r="K13" s="2"/>
      <c r="L13" s="2"/>
      <c r="M13" s="2"/>
      <c r="N13" s="2"/>
    </row>
    <row r="14" spans="1:14">
      <c r="H14">
        <f>F14*G14/100</f>
        <v>0</v>
      </c>
      <c r="K14" s="2"/>
      <c r="L14" s="2"/>
      <c r="M14" s="2"/>
      <c r="N14" s="2"/>
    </row>
    <row r="15" spans="1:14">
      <c r="H15">
        <f>F15*G15/100</f>
        <v>0</v>
      </c>
      <c r="K15" s="2"/>
      <c r="L15" s="2"/>
      <c r="M15" s="2"/>
      <c r="N15" s="2"/>
    </row>
    <row r="16" spans="1:14">
      <c r="H16">
        <f>F16*G16/100</f>
        <v>0</v>
      </c>
      <c r="K16" s="2"/>
      <c r="L16" s="2"/>
      <c r="M16" s="2"/>
      <c r="N16" s="2"/>
    </row>
    <row r="17" spans="8:14">
      <c r="H17">
        <f>F17*G17/100</f>
        <v>0</v>
      </c>
      <c r="K17" s="2"/>
      <c r="L17" s="2"/>
      <c r="M17" s="2"/>
      <c r="N17" s="2"/>
    </row>
    <row r="18" spans="8:14">
      <c r="H18">
        <f>F18*G18/100</f>
        <v>0</v>
      </c>
      <c r="K18" s="2"/>
      <c r="L18" s="2"/>
      <c r="M18" s="2"/>
      <c r="N18" s="2"/>
    </row>
    <row r="19" spans="8:14">
      <c r="H19">
        <f>F19*G19/100</f>
        <v>0</v>
      </c>
      <c r="K19" s="2"/>
      <c r="L19" s="2"/>
      <c r="M19" s="2"/>
      <c r="N19" s="2"/>
    </row>
    <row r="20" spans="8:14">
      <c r="H20">
        <f>F20*G20/100</f>
        <v>0</v>
      </c>
      <c r="K20" s="2"/>
      <c r="L20" s="2"/>
      <c r="M20" s="2"/>
      <c r="N20" s="2"/>
    </row>
    <row r="21" spans="8:14">
      <c r="H21">
        <f>F21*G21/100</f>
        <v>0</v>
      </c>
      <c r="K21" s="2"/>
      <c r="L21" s="2"/>
      <c r="M21" s="2"/>
      <c r="N21" s="2"/>
    </row>
    <row r="22" spans="8:14">
      <c r="H22">
        <f>F22*G22/100</f>
        <v>0</v>
      </c>
      <c r="K22" s="2"/>
      <c r="L22" s="2"/>
      <c r="M22" s="2"/>
      <c r="N22" s="2"/>
    </row>
    <row r="23" spans="8:14">
      <c r="H23">
        <f>F23*G23/100</f>
        <v>0</v>
      </c>
      <c r="K23" s="2"/>
      <c r="L23" s="2"/>
      <c r="M23" s="2"/>
      <c r="N23" s="2"/>
    </row>
    <row r="24" spans="8:14">
      <c r="H24">
        <f>F24*G24/100</f>
        <v>0</v>
      </c>
      <c r="K24" s="2"/>
      <c r="L24" s="2"/>
      <c r="M24" s="2"/>
      <c r="N24" s="2"/>
    </row>
    <row r="25" spans="8:14">
      <c r="H25">
        <f>F25*G25/100</f>
        <v>0</v>
      </c>
      <c r="K25" s="2"/>
      <c r="L25" s="2"/>
      <c r="M25" s="2"/>
      <c r="N25" s="2"/>
    </row>
    <row r="26" spans="8:14">
      <c r="H26">
        <f>F26*G26/100</f>
        <v>0</v>
      </c>
      <c r="K26" s="2"/>
      <c r="L26" s="2"/>
      <c r="M26" s="2"/>
      <c r="N26" s="2"/>
    </row>
    <row r="27" spans="8:14">
      <c r="H27">
        <f>F27*G27/100</f>
        <v>0</v>
      </c>
      <c r="K27" s="2"/>
      <c r="L27" s="2"/>
      <c r="M27" s="2"/>
      <c r="N27" s="2"/>
    </row>
    <row r="28" spans="8:14">
      <c r="H28">
        <f>F28*G28/100</f>
        <v>0</v>
      </c>
      <c r="K28" s="2"/>
      <c r="L28" s="2"/>
      <c r="M28" s="2"/>
      <c r="N28" s="2"/>
    </row>
    <row r="29" spans="8:14">
      <c r="H29">
        <f>F29*G29/100</f>
        <v>0</v>
      </c>
      <c r="K29" s="2"/>
      <c r="L29" s="2"/>
      <c r="M29" s="2"/>
      <c r="N29" s="2"/>
    </row>
    <row r="30" spans="8:14">
      <c r="H30">
        <f>F30*G30/100</f>
        <v>0</v>
      </c>
      <c r="K30" s="2"/>
      <c r="L30" s="2"/>
      <c r="M30" s="2"/>
      <c r="N30" s="2"/>
    </row>
    <row r="31" spans="8:14">
      <c r="H31">
        <f>F31*G31/100</f>
        <v>0</v>
      </c>
      <c r="K31" s="2"/>
      <c r="L31" s="2"/>
      <c r="M31" s="2"/>
      <c r="N31" s="2"/>
    </row>
    <row r="32" spans="8:14">
      <c r="H32">
        <f>F32*G32/100</f>
        <v>0</v>
      </c>
      <c r="K32" s="2"/>
      <c r="L32" s="2"/>
      <c r="M32" s="2"/>
      <c r="N32" s="2"/>
    </row>
    <row r="33" spans="8:14">
      <c r="H33">
        <f>F33*G33/100</f>
        <v>0</v>
      </c>
      <c r="K33" s="2"/>
      <c r="L33" s="2"/>
      <c r="M33" s="2"/>
      <c r="N33" s="2"/>
    </row>
    <row r="34" spans="8:14">
      <c r="H34">
        <f>F34*G34/100</f>
        <v>0</v>
      </c>
      <c r="K34" s="2"/>
      <c r="L34" s="2"/>
      <c r="M34" s="2"/>
      <c r="N34" s="2"/>
    </row>
    <row r="35" spans="8:14">
      <c r="H35">
        <f>F35*G35/100</f>
        <v>0</v>
      </c>
      <c r="K35" s="2"/>
      <c r="L35" s="2"/>
      <c r="M35" s="2"/>
      <c r="N35" s="2"/>
    </row>
    <row r="36" spans="8:14">
      <c r="H36">
        <f>F36*G36/100</f>
        <v>0</v>
      </c>
      <c r="K36" s="2"/>
      <c r="L36" s="2"/>
      <c r="M36" s="2"/>
      <c r="N36" s="2"/>
    </row>
    <row r="37" spans="8:14">
      <c r="H37">
        <f>F37*G37/100</f>
        <v>0</v>
      </c>
      <c r="K37" s="2"/>
      <c r="L37" s="2"/>
      <c r="M37" s="2"/>
      <c r="N37" s="2"/>
    </row>
    <row r="38" spans="8:14">
      <c r="H38">
        <f>F38*G38/100</f>
        <v>0</v>
      </c>
      <c r="K38" s="2"/>
      <c r="L38" s="2"/>
      <c r="M38" s="2"/>
      <c r="N38" s="2"/>
    </row>
    <row r="39" spans="8:14">
      <c r="H39">
        <f>F39*G39/100</f>
        <v>0</v>
      </c>
      <c r="K39" s="2"/>
      <c r="L39" s="2"/>
      <c r="M39" s="2"/>
      <c r="N39" s="2"/>
    </row>
    <row r="40" spans="8:14">
      <c r="H40">
        <f>F40*G40/100</f>
        <v>0</v>
      </c>
      <c r="K40" s="2"/>
      <c r="L40" s="2"/>
      <c r="M40" s="2"/>
      <c r="N40" s="2"/>
    </row>
    <row r="41" spans="8:14">
      <c r="H41">
        <f>F41*G41/100</f>
        <v>0</v>
      </c>
      <c r="K41" s="2"/>
      <c r="L41" s="2"/>
      <c r="M41" s="2"/>
      <c r="N41" s="2"/>
    </row>
    <row r="42" spans="8:14">
      <c r="H42">
        <f>F42*G42/100</f>
        <v>0</v>
      </c>
      <c r="K42" s="2"/>
      <c r="L42" s="2"/>
      <c r="M42" s="2"/>
      <c r="N42" s="2"/>
    </row>
    <row r="43" spans="8:14">
      <c r="H43">
        <f>F43*G43/100</f>
        <v>0</v>
      </c>
      <c r="K43" s="2"/>
      <c r="L43" s="2"/>
      <c r="M43" s="2"/>
      <c r="N43" s="2"/>
    </row>
    <row r="44" spans="8:14">
      <c r="H44">
        <f>F44*G44/100</f>
        <v>0</v>
      </c>
      <c r="K44" s="2"/>
      <c r="L44" s="2"/>
      <c r="M44" s="2"/>
      <c r="N44" s="2"/>
    </row>
    <row r="45" spans="8:14">
      <c r="H45">
        <f>F45*G45/100</f>
        <v>0</v>
      </c>
      <c r="K45" s="2"/>
      <c r="L45" s="2"/>
      <c r="M45" s="2"/>
      <c r="N45" s="2"/>
    </row>
    <row r="46" spans="8:14">
      <c r="H46">
        <f>F46*G46/100</f>
        <v>0</v>
      </c>
      <c r="K46" s="2"/>
      <c r="L46" s="2"/>
      <c r="M46" s="2"/>
      <c r="N46" s="2"/>
    </row>
    <row r="47" spans="8:14">
      <c r="H47">
        <f>F47*G47/100</f>
        <v>0</v>
      </c>
      <c r="K47" s="2"/>
      <c r="L47" s="2"/>
      <c r="M47" s="2"/>
      <c r="N47" s="2"/>
    </row>
    <row r="48" spans="8:14">
      <c r="H48">
        <f>F48*G48/100</f>
        <v>0</v>
      </c>
      <c r="K48" s="2"/>
      <c r="L48" s="2"/>
      <c r="M48" s="2"/>
      <c r="N48" s="2"/>
    </row>
    <row r="49" spans="8:14">
      <c r="H49">
        <f>F49*G49/100</f>
        <v>0</v>
      </c>
      <c r="K49" s="2"/>
      <c r="L49" s="2"/>
      <c r="M49" s="2"/>
      <c r="N49" s="2"/>
    </row>
    <row r="50" spans="8:14">
      <c r="H50">
        <f>F50*G50/100</f>
        <v>0</v>
      </c>
      <c r="K50" s="2"/>
      <c r="L50" s="2"/>
      <c r="M50" s="2"/>
      <c r="N50" s="2"/>
    </row>
    <row r="51" spans="8:14">
      <c r="H51">
        <f>F51*G51/100</f>
        <v>0</v>
      </c>
      <c r="K51" s="2"/>
      <c r="L51" s="2"/>
      <c r="M51" s="2"/>
      <c r="N51" s="2"/>
    </row>
    <row r="52" spans="8:14">
      <c r="H52">
        <f>F52*G52/100</f>
        <v>0</v>
      </c>
      <c r="K52" s="2"/>
      <c r="L52" s="2"/>
      <c r="M52" s="2"/>
      <c r="N52" s="2"/>
    </row>
    <row r="53" spans="8:14">
      <c r="H53">
        <f>F53*G53/100</f>
        <v>0</v>
      </c>
      <c r="K53" s="2"/>
      <c r="L53" s="2"/>
      <c r="M53" s="2"/>
      <c r="N53" s="2"/>
    </row>
    <row r="54" spans="8:14">
      <c r="H54">
        <f>F54*G54/100</f>
        <v>0</v>
      </c>
      <c r="K54" s="2"/>
      <c r="L54" s="2"/>
      <c r="M54" s="2"/>
      <c r="N54" s="2"/>
    </row>
    <row r="55" spans="8:14">
      <c r="H55">
        <f>F55*G55/100</f>
        <v>0</v>
      </c>
      <c r="K55" s="2"/>
      <c r="L55" s="2"/>
      <c r="M55" s="2"/>
      <c r="N55" s="2"/>
    </row>
    <row r="56" spans="8:14">
      <c r="H56">
        <f>F56*G56/100</f>
        <v>0</v>
      </c>
      <c r="K56" s="2"/>
      <c r="L56" s="2"/>
      <c r="M56" s="2"/>
      <c r="N56" s="2"/>
    </row>
    <row r="57" spans="8:14">
      <c r="H57">
        <f>F57*G57/100</f>
        <v>0</v>
      </c>
      <c r="K57" s="2"/>
      <c r="L57" s="2"/>
      <c r="M57" s="2"/>
      <c r="N57" s="2"/>
    </row>
    <row r="58" spans="8:14">
      <c r="H58">
        <f>F58*G58/100</f>
        <v>0</v>
      </c>
      <c r="K58" s="2"/>
      <c r="L58" s="2"/>
      <c r="M58" s="2"/>
      <c r="N58" s="2"/>
    </row>
    <row r="59" spans="8:14">
      <c r="H59">
        <f>F59*G59/100</f>
        <v>0</v>
      </c>
      <c r="K59" s="2"/>
      <c r="L59" s="2"/>
      <c r="M59" s="2"/>
      <c r="N59" s="2"/>
    </row>
    <row r="60" spans="8:14">
      <c r="H60">
        <f>F60*G60/100</f>
        <v>0</v>
      </c>
      <c r="K60" s="2"/>
      <c r="L60" s="2"/>
      <c r="M60" s="2"/>
      <c r="N60" s="2"/>
    </row>
    <row r="61" spans="8:14">
      <c r="H61">
        <f>F61*G61/100</f>
        <v>0</v>
      </c>
      <c r="K61" s="2"/>
      <c r="L61" s="2"/>
      <c r="M61" s="2"/>
      <c r="N61" s="2"/>
    </row>
    <row r="62" spans="8:14">
      <c r="H62">
        <f>F62*G62/100</f>
        <v>0</v>
      </c>
      <c r="K62" s="2"/>
      <c r="L62" s="2"/>
      <c r="M62" s="2"/>
      <c r="N62" s="2"/>
    </row>
    <row r="63" spans="8:14">
      <c r="H63">
        <f>F63*G63/100</f>
        <v>0</v>
      </c>
      <c r="K63" s="2"/>
      <c r="L63" s="2"/>
      <c r="M63" s="2"/>
      <c r="N63" s="2"/>
    </row>
    <row r="64" spans="8:14">
      <c r="H64">
        <f>F64*G64/100</f>
        <v>0</v>
      </c>
      <c r="K64" s="2"/>
      <c r="L64" s="2"/>
      <c r="M64" s="2"/>
      <c r="N64" s="2"/>
    </row>
    <row r="65" spans="8:14">
      <c r="H65">
        <f>F65*G65/100</f>
        <v>0</v>
      </c>
      <c r="K65" s="2"/>
      <c r="L65" s="2"/>
      <c r="M65" s="2"/>
      <c r="N65" s="2"/>
    </row>
    <row r="66" spans="8:14">
      <c r="H66">
        <f>F66*G66/100</f>
        <v>0</v>
      </c>
      <c r="K66" s="2"/>
      <c r="L66" s="2"/>
      <c r="M66" s="2"/>
      <c r="N66" s="2"/>
    </row>
    <row r="67" spans="8:14">
      <c r="H67">
        <f>F67*G67/100</f>
        <v>0</v>
      </c>
      <c r="K67" s="2"/>
      <c r="L67" s="2"/>
      <c r="M67" s="2"/>
      <c r="N67" s="2"/>
    </row>
    <row r="68" spans="8:14">
      <c r="H68">
        <f>F68*G68/100</f>
        <v>0</v>
      </c>
      <c r="K68" s="2"/>
      <c r="L68" s="2"/>
      <c r="M68" s="2"/>
      <c r="N68" s="2"/>
    </row>
    <row r="69" spans="8:14">
      <c r="H69">
        <f>F69*G69/100</f>
        <v>0</v>
      </c>
      <c r="K69" s="2"/>
      <c r="L69" s="2"/>
      <c r="M69" s="2"/>
      <c r="N69" s="2"/>
    </row>
    <row r="70" spans="8:14">
      <c r="H70">
        <f>F70*G70/100</f>
        <v>0</v>
      </c>
      <c r="K70" s="2"/>
      <c r="L70" s="2"/>
      <c r="M70" s="2"/>
      <c r="N70" s="2"/>
    </row>
    <row r="71" spans="8:14">
      <c r="H71">
        <f>F71*G71/100</f>
        <v>0</v>
      </c>
      <c r="K71" s="2"/>
      <c r="L71" s="2"/>
      <c r="M71" s="2"/>
      <c r="N71" s="2"/>
    </row>
    <row r="72" spans="8:14">
      <c r="H72">
        <f>F72*G72/100</f>
        <v>0</v>
      </c>
      <c r="K72" s="2"/>
      <c r="L72" s="2"/>
      <c r="M72" s="2"/>
      <c r="N72" s="2"/>
    </row>
    <row r="73" spans="8:14">
      <c r="H73">
        <f>F73*G73/100</f>
        <v>0</v>
      </c>
      <c r="K73" s="2"/>
      <c r="L73" s="2"/>
      <c r="M73" s="2"/>
      <c r="N73" s="2"/>
    </row>
    <row r="74" spans="8:14">
      <c r="H74">
        <f>F74*G74/100</f>
        <v>0</v>
      </c>
      <c r="K74" s="2"/>
      <c r="L74" s="2"/>
      <c r="M74" s="2"/>
      <c r="N74" s="2"/>
    </row>
    <row r="75" spans="8:14">
      <c r="H75">
        <f>F75*G75/100</f>
        <v>0</v>
      </c>
      <c r="K75" s="2"/>
      <c r="L75" s="2"/>
      <c r="M75" s="2"/>
      <c r="N75" s="2"/>
    </row>
    <row r="76" spans="8:14">
      <c r="H76">
        <f>F76*G76/100</f>
        <v>0</v>
      </c>
      <c r="K76" s="2"/>
      <c r="L76" s="2"/>
      <c r="M76" s="2"/>
      <c r="N76" s="2"/>
    </row>
    <row r="77" spans="8:14">
      <c r="H77">
        <f>F77*G77/100</f>
        <v>0</v>
      </c>
      <c r="K77" s="2"/>
      <c r="L77" s="2"/>
      <c r="M77" s="2"/>
      <c r="N77" s="2"/>
    </row>
    <row r="78" spans="8:14">
      <c r="H78">
        <f>F78*G78/100</f>
        <v>0</v>
      </c>
      <c r="K78" s="2"/>
      <c r="L78" s="2"/>
      <c r="M78" s="2"/>
      <c r="N78" s="2"/>
    </row>
    <row r="79" spans="8:14">
      <c r="H79">
        <f>F79*G79/100</f>
        <v>0</v>
      </c>
      <c r="K79" s="2"/>
      <c r="L79" s="2"/>
      <c r="M79" s="2"/>
      <c r="N79" s="2"/>
    </row>
    <row r="80" spans="8:14">
      <c r="H80">
        <f>F80*G80/100</f>
        <v>0</v>
      </c>
      <c r="K80" s="2"/>
      <c r="L80" s="2"/>
      <c r="M80" s="2"/>
      <c r="N80" s="2"/>
    </row>
    <row r="81" spans="8:14">
      <c r="H81">
        <f>F81*G81/100</f>
        <v>0</v>
      </c>
      <c r="K81" s="2"/>
      <c r="L81" s="2"/>
      <c r="M81" s="2"/>
      <c r="N81" s="2"/>
    </row>
    <row r="82" spans="8:14">
      <c r="H82">
        <f>F82*G82/100</f>
        <v>0</v>
      </c>
      <c r="K82" s="2"/>
      <c r="L82" s="2"/>
      <c r="M82" s="2"/>
      <c r="N82" s="2"/>
    </row>
    <row r="83" spans="8:14">
      <c r="H83">
        <f>F83*G83/100</f>
        <v>0</v>
      </c>
      <c r="K83" s="2"/>
      <c r="L83" s="2"/>
      <c r="M83" s="2"/>
      <c r="N83" s="2"/>
    </row>
    <row r="84" spans="8:14">
      <c r="H84">
        <f>F84*G84/100</f>
        <v>0</v>
      </c>
      <c r="K84" s="2"/>
      <c r="L84" s="2"/>
      <c r="M84" s="2"/>
      <c r="N84" s="2"/>
    </row>
    <row r="85" spans="8:14">
      <c r="H85">
        <f>F85*G85/100</f>
        <v>0</v>
      </c>
      <c r="K85" s="2"/>
      <c r="L85" s="2"/>
      <c r="M85" s="2"/>
      <c r="N85" s="2"/>
    </row>
    <row r="86" spans="8:14">
      <c r="H86">
        <f>F86*G86/100</f>
        <v>0</v>
      </c>
      <c r="K86" s="2"/>
      <c r="L86" s="2"/>
      <c r="M86" s="2"/>
      <c r="N86" s="2"/>
    </row>
    <row r="87" spans="8:14">
      <c r="H87">
        <f>F87*G87/100</f>
        <v>0</v>
      </c>
      <c r="K87" s="2"/>
      <c r="L87" s="2"/>
      <c r="M87" s="2"/>
      <c r="N87" s="2"/>
    </row>
    <row r="88" spans="8:14">
      <c r="H88">
        <f>F88*G88/100</f>
        <v>0</v>
      </c>
      <c r="K88" s="2"/>
      <c r="L88" s="2"/>
      <c r="M88" s="2"/>
      <c r="N88" s="2"/>
    </row>
    <row r="89" spans="8:14">
      <c r="H89">
        <f>F89*G89/100</f>
        <v>0</v>
      </c>
      <c r="K89" s="2"/>
      <c r="L89" s="2"/>
      <c r="M89" s="2"/>
      <c r="N89" s="2"/>
    </row>
    <row r="90" spans="8:14">
      <c r="H90">
        <f>F90*G90/100</f>
        <v>0</v>
      </c>
      <c r="K90" s="2"/>
      <c r="L90" s="2"/>
      <c r="M90" s="2"/>
      <c r="N90" s="2"/>
    </row>
    <row r="91" spans="8:14">
      <c r="H91">
        <f>F91*G91/100</f>
        <v>0</v>
      </c>
      <c r="K91" s="2"/>
      <c r="L91" s="2"/>
      <c r="M91" s="2"/>
      <c r="N91" s="2"/>
    </row>
    <row r="92" spans="8:14">
      <c r="H92">
        <f>F92*G92/100</f>
        <v>0</v>
      </c>
      <c r="K92" s="2"/>
      <c r="L92" s="2"/>
      <c r="M92" s="2"/>
      <c r="N92" s="2"/>
    </row>
    <row r="93" spans="8:14">
      <c r="H93">
        <f>F93*G93/100</f>
        <v>0</v>
      </c>
      <c r="K93" s="2"/>
      <c r="L93" s="2"/>
      <c r="M93" s="2"/>
      <c r="N93" s="2"/>
    </row>
    <row r="94" spans="8:14">
      <c r="H94">
        <f>F94*G94/100</f>
        <v>0</v>
      </c>
      <c r="K94" s="2"/>
      <c r="L94" s="2"/>
      <c r="M94" s="2"/>
      <c r="N94" s="2"/>
    </row>
    <row r="95" spans="8:14">
      <c r="H95">
        <f>F95*G95/100</f>
        <v>0</v>
      </c>
      <c r="K95" s="2"/>
      <c r="L95" s="2"/>
      <c r="M95" s="2"/>
      <c r="N95" s="2"/>
    </row>
    <row r="96" spans="8:14">
      <c r="H96">
        <f>F96*G96/100</f>
        <v>0</v>
      </c>
      <c r="K96" s="2"/>
      <c r="L96" s="2"/>
      <c r="M96" s="2"/>
      <c r="N96" s="2"/>
    </row>
    <row r="97" spans="1:14">
      <c r="H97">
        <f>F97*G97/100</f>
        <v>0</v>
      </c>
      <c r="K97" s="2"/>
      <c r="L97" s="2"/>
      <c r="M97" s="2"/>
      <c r="N97" s="2"/>
    </row>
    <row r="98" spans="1:14">
      <c r="H98">
        <f>F98*G98/100</f>
        <v>0</v>
      </c>
      <c r="K98" s="2"/>
      <c r="L98" s="2"/>
      <c r="M98" s="2"/>
      <c r="N98" s="2"/>
    </row>
    <row r="99" spans="1:14">
      <c r="H99">
        <f>F99*G99/100</f>
        <v>0</v>
      </c>
      <c r="K99" s="2"/>
      <c r="L99" s="2"/>
      <c r="M99" s="2"/>
      <c r="N99" s="2"/>
    </row>
    <row r="101" spans="1:14">
      <c r="A101" s="18" t="s">
        <v>240</v>
      </c>
      <c r="B101" s="16"/>
      <c r="C101" s="16"/>
      <c r="D101" s="16"/>
    </row>
    <row r="102" spans="1:14">
      <c r="A102" s="4" t="s">
        <v>208</v>
      </c>
      <c r="B102" s="4" t="s">
        <v>241</v>
      </c>
      <c r="C102" s="4" t="s">
        <v>242</v>
      </c>
      <c r="D102" s="4" t="s">
        <v>243</v>
      </c>
    </row>
    <row r="103" spans="1:14">
      <c r="A103" t="s">
        <v>229</v>
      </c>
      <c r="B103">
        <f>COUNTIF(I4:I100,"Initial Contact")</f>
        <v>1</v>
      </c>
      <c r="C103">
        <f>SUMIF(I4:I100,"Initial Contact",F4:F100)</f>
        <v>18</v>
      </c>
      <c r="D103">
        <f>SUMIF(I4:I100,"Initial Contact",H4:H100)</f>
        <v>6.3</v>
      </c>
    </row>
    <row r="104" spans="1:14">
      <c r="A104" t="s">
        <v>216</v>
      </c>
      <c r="B104">
        <f>COUNTIF(I4:I100,"Qualification")</f>
        <v>2</v>
      </c>
      <c r="C104">
        <f>SUMIF(I4:I100,"Qualification",F4:F100)</f>
        <v>27</v>
      </c>
      <c r="D104">
        <f>SUMIF(I4:I100,"Qualification",H4:H100)</f>
        <v>7.5</v>
      </c>
    </row>
    <row r="105" spans="1:14">
      <c r="A105" t="s">
        <v>223</v>
      </c>
      <c r="B105">
        <f>COUNTIF(I4:I100,"Needs Analysis")</f>
        <v>1</v>
      </c>
      <c r="C105">
        <f>SUMIF(I4:I100,"Needs Analysis",F4:F100)</f>
        <v>10</v>
      </c>
      <c r="D105">
        <f>SUMIF(I4:I100,"Needs Analysis",H4:H100)</f>
        <v>4</v>
      </c>
    </row>
    <row r="106" spans="1:14">
      <c r="A106" t="s">
        <v>166</v>
      </c>
      <c r="B106">
        <f>COUNTIF(I4:I100,"Proposal")</f>
        <v>1</v>
      </c>
      <c r="C106">
        <f>SUMIF(I4:I100,"Proposal",F4:F100)</f>
        <v>20</v>
      </c>
      <c r="D106">
        <f>SUMIF(I4:I100,"Proposal",H4:H100)</f>
        <v>6</v>
      </c>
    </row>
    <row r="107" spans="1:14">
      <c r="A107" t="s">
        <v>244</v>
      </c>
      <c r="B107">
        <f>COUNTIF(I4:I100,"Negotiation")</f>
        <v>0</v>
      </c>
      <c r="C107">
        <f>SUMIF(I4:I100,"Negotiation",F4:F100)</f>
        <v>0</v>
      </c>
      <c r="D107">
        <f>SUMIF(I4:I100,"Negotiation",H4:H100)</f>
        <v>0</v>
      </c>
    </row>
    <row r="108" spans="1:14">
      <c r="A108" t="s">
        <v>245</v>
      </c>
      <c r="B108">
        <f>COUNTIF(I4:I100,"Closed Won")</f>
        <v>0</v>
      </c>
      <c r="C108">
        <f>SUMIF(I4:I100,"Closed Won",F4:F100)</f>
        <v>0</v>
      </c>
      <c r="D108">
        <f>SUMIF(I4:I100,"Closed Won",H4:H100)</f>
        <v>0</v>
      </c>
    </row>
    <row r="109" spans="1:14">
      <c r="A109" t="s">
        <v>246</v>
      </c>
      <c r="B109">
        <f>COUNTIF(I4:I100,"Closed Lost")</f>
        <v>0</v>
      </c>
      <c r="C109">
        <f>SUMIF(I4:I100,"Closed Lost",F4:F100)</f>
        <v>0</v>
      </c>
      <c r="D109">
        <f>SUMIF(I4:I100,"Closed Lost",H4:H100)</f>
        <v>0</v>
      </c>
    </row>
    <row r="111" spans="1:14">
      <c r="A111" s="11" t="s">
        <v>247</v>
      </c>
      <c r="B111" s="13">
        <f>SUM(C103:C109)</f>
        <v>75</v>
      </c>
    </row>
    <row r="112" spans="1:14">
      <c r="A112" s="11" t="s">
        <v>248</v>
      </c>
      <c r="B112" s="13">
        <f>SUM(D103:D109)</f>
        <v>23.8</v>
      </c>
    </row>
  </sheetData>
  <mergeCells count="2">
    <mergeCell ref="A101:D101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workbookViewId="0"/>
  </sheetViews>
  <sheetFormatPr defaultRowHeight="15"/>
  <cols>
    <col min="1" max="1" width="25" customWidth="1"/>
    <col min="2" max="4" width="12" customWidth="1"/>
    <col min="5" max="5" width="40" customWidth="1"/>
  </cols>
  <sheetData>
    <row r="1" spans="1:6">
      <c r="A1" s="18" t="s">
        <v>249</v>
      </c>
      <c r="B1" s="16"/>
      <c r="C1" s="16"/>
      <c r="D1" s="16"/>
      <c r="E1" s="16"/>
      <c r="F1" s="16"/>
    </row>
    <row r="3" spans="1:6">
      <c r="A3" t="s">
        <v>250</v>
      </c>
      <c r="B3" s="2"/>
    </row>
    <row r="5" spans="1:6">
      <c r="A5" s="19" t="s">
        <v>251</v>
      </c>
      <c r="B5" s="16"/>
      <c r="C5" s="16"/>
      <c r="D5" s="16"/>
      <c r="E5" s="16"/>
      <c r="F5" s="16"/>
    </row>
    <row r="6" spans="1:6">
      <c r="A6" s="4" t="s">
        <v>252</v>
      </c>
      <c r="B6" s="4" t="s">
        <v>43</v>
      </c>
      <c r="C6" s="4" t="s">
        <v>44</v>
      </c>
      <c r="D6" s="4" t="s">
        <v>172</v>
      </c>
      <c r="E6" s="4" t="s">
        <v>253</v>
      </c>
    </row>
    <row r="7" spans="1:6">
      <c r="A7" t="s">
        <v>173</v>
      </c>
      <c r="B7">
        <v>8</v>
      </c>
      <c r="C7" s="2"/>
      <c r="D7">
        <f>C7-B7</f>
        <v>-8</v>
      </c>
      <c r="E7" s="2"/>
    </row>
    <row r="8" spans="1:6">
      <c r="A8" t="s">
        <v>174</v>
      </c>
      <c r="B8">
        <v>20</v>
      </c>
      <c r="C8" s="2"/>
      <c r="D8">
        <f>C8-B8</f>
        <v>-20</v>
      </c>
      <c r="E8" s="2"/>
    </row>
    <row r="9" spans="1:6">
      <c r="A9" t="s">
        <v>254</v>
      </c>
      <c r="B9">
        <v>30</v>
      </c>
      <c r="C9" s="2"/>
      <c r="D9">
        <f>C9-B9</f>
        <v>-30</v>
      </c>
      <c r="E9" s="2"/>
    </row>
    <row r="10" spans="1:6">
      <c r="A10" t="s">
        <v>176</v>
      </c>
      <c r="B10">
        <v>3</v>
      </c>
      <c r="C10" s="2"/>
      <c r="D10">
        <f>C10-B10</f>
        <v>-3</v>
      </c>
      <c r="E10" s="2"/>
    </row>
    <row r="11" spans="1:6">
      <c r="A11" t="s">
        <v>25</v>
      </c>
      <c r="B11">
        <v>3</v>
      </c>
      <c r="C11" s="2"/>
      <c r="D11">
        <f>C11-B11</f>
        <v>-3</v>
      </c>
      <c r="E11" s="2"/>
    </row>
    <row r="12" spans="1:6">
      <c r="A12" t="s">
        <v>255</v>
      </c>
      <c r="B12">
        <v>1</v>
      </c>
      <c r="C12" s="2"/>
      <c r="D12">
        <f>C12-B12</f>
        <v>-1</v>
      </c>
      <c r="E12" s="2"/>
    </row>
    <row r="14" spans="1:6">
      <c r="A14" s="19" t="s">
        <v>256</v>
      </c>
      <c r="B14" s="16"/>
      <c r="C14" s="16"/>
      <c r="D14" s="16"/>
      <c r="E14" s="16"/>
      <c r="F14" s="16"/>
    </row>
    <row r="15" spans="1:6">
      <c r="A15" t="s">
        <v>257</v>
      </c>
      <c r="B15" s="2"/>
    </row>
    <row r="16" spans="1:6">
      <c r="A16" t="s">
        <v>258</v>
      </c>
      <c r="B16" s="2"/>
    </row>
    <row r="17" spans="1:6">
      <c r="A17" t="s">
        <v>259</v>
      </c>
      <c r="B17" s="2"/>
    </row>
    <row r="19" spans="1:6">
      <c r="A19" s="19" t="s">
        <v>260</v>
      </c>
      <c r="B19" s="16"/>
      <c r="C19" s="16"/>
      <c r="D19" s="16"/>
      <c r="E19" s="16"/>
      <c r="F19" s="16"/>
    </row>
    <row r="20" spans="1:6">
      <c r="A20" s="16" t="s">
        <v>261</v>
      </c>
      <c r="B20" s="16"/>
      <c r="C20" s="16"/>
      <c r="D20" s="16"/>
      <c r="E20" s="16"/>
      <c r="F20" s="16"/>
    </row>
    <row r="21" spans="1:6">
      <c r="A21" s="14"/>
      <c r="B21" s="16"/>
      <c r="C21" s="16"/>
      <c r="D21" s="16"/>
      <c r="E21" s="16"/>
      <c r="F21" s="16"/>
    </row>
    <row r="22" spans="1:6">
      <c r="A22" s="16"/>
      <c r="B22" s="16"/>
      <c r="C22" s="16"/>
      <c r="D22" s="16"/>
      <c r="E22" s="16"/>
      <c r="F22" s="16"/>
    </row>
    <row r="23" spans="1:6">
      <c r="A23" s="16"/>
      <c r="B23" s="16"/>
      <c r="C23" s="16"/>
      <c r="D23" s="16"/>
      <c r="E23" s="16"/>
      <c r="F23" s="16"/>
    </row>
    <row r="25" spans="1:6">
      <c r="A25" s="19" t="s">
        <v>262</v>
      </c>
      <c r="B25" s="16"/>
      <c r="C25" s="16"/>
      <c r="D25" s="16"/>
      <c r="E25" s="16"/>
      <c r="F25" s="16"/>
    </row>
    <row r="26" spans="1:6">
      <c r="A26" s="14"/>
      <c r="B26" s="16"/>
      <c r="C26" s="16"/>
      <c r="D26" s="16"/>
      <c r="E26" s="16"/>
      <c r="F26" s="16"/>
    </row>
    <row r="27" spans="1:6">
      <c r="A27" s="16"/>
      <c r="B27" s="16"/>
      <c r="C27" s="16"/>
      <c r="D27" s="16"/>
      <c r="E27" s="16"/>
      <c r="F27" s="16"/>
    </row>
    <row r="28" spans="1:6">
      <c r="A28" s="16"/>
      <c r="B28" s="16"/>
      <c r="C28" s="16"/>
      <c r="D28" s="16"/>
      <c r="E28" s="16"/>
      <c r="F28" s="16"/>
    </row>
    <row r="30" spans="1:6">
      <c r="A30" s="19" t="s">
        <v>263</v>
      </c>
      <c r="B30" s="16"/>
      <c r="C30" s="16"/>
      <c r="D30" s="16"/>
      <c r="E30" s="16"/>
      <c r="F30" s="16"/>
    </row>
    <row r="31" spans="1:6">
      <c r="A31" s="14"/>
      <c r="B31" s="16"/>
      <c r="C31" s="16"/>
      <c r="D31" s="16"/>
      <c r="E31" s="16"/>
      <c r="F31" s="16"/>
    </row>
    <row r="32" spans="1:6">
      <c r="A32" s="16"/>
      <c r="B32" s="16"/>
      <c r="C32" s="16"/>
      <c r="D32" s="16"/>
      <c r="E32" s="16"/>
      <c r="F32" s="16"/>
    </row>
    <row r="33" spans="1:6">
      <c r="A33" s="16"/>
      <c r="B33" s="16"/>
      <c r="C33" s="16"/>
      <c r="D33" s="16"/>
      <c r="E33" s="16"/>
      <c r="F33" s="16"/>
    </row>
  </sheetData>
  <mergeCells count="10">
    <mergeCell ref="A31:F33"/>
    <mergeCell ref="A19:F19"/>
    <mergeCell ref="A14:F14"/>
    <mergeCell ref="A1:F1"/>
    <mergeCell ref="A5:F5"/>
    <mergeCell ref="A26:F28"/>
    <mergeCell ref="A21:F23"/>
    <mergeCell ref="A20:F20"/>
    <mergeCell ref="A30:F30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8"/>
  <sheetViews>
    <sheetView workbookViewId="0"/>
  </sheetViews>
  <sheetFormatPr defaultRowHeight="15"/>
  <cols>
    <col min="1" max="1" width="30" customWidth="1"/>
    <col min="2" max="2" width="15" customWidth="1"/>
    <col min="3" max="4" width="12" customWidth="1"/>
    <col min="5" max="7" width="15" customWidth="1"/>
  </cols>
  <sheetData>
    <row r="1" spans="1:7">
      <c r="A1" s="18" t="s">
        <v>264</v>
      </c>
      <c r="B1" s="16"/>
      <c r="C1" s="16"/>
      <c r="D1" s="16"/>
      <c r="E1" s="16"/>
      <c r="F1" s="16"/>
      <c r="G1" s="16"/>
    </row>
    <row r="3" spans="1:7">
      <c r="A3" t="s">
        <v>265</v>
      </c>
      <c r="B3" s="2"/>
    </row>
    <row r="4" spans="1:7">
      <c r="A4" t="s">
        <v>266</v>
      </c>
      <c r="B4" s="2"/>
    </row>
    <row r="6" spans="1:7">
      <c r="A6" s="19" t="s">
        <v>267</v>
      </c>
      <c r="B6" s="16"/>
      <c r="C6" s="16"/>
      <c r="D6" s="16"/>
      <c r="E6" s="16"/>
      <c r="F6" s="16"/>
      <c r="G6" s="16"/>
    </row>
    <row r="7" spans="1:7">
      <c r="A7" s="4" t="s">
        <v>17</v>
      </c>
      <c r="B7" s="4" t="s">
        <v>268</v>
      </c>
      <c r="C7" s="4" t="s">
        <v>44</v>
      </c>
      <c r="D7" s="4" t="s">
        <v>172</v>
      </c>
      <c r="E7" s="4" t="s">
        <v>269</v>
      </c>
      <c r="F7" s="4" t="s">
        <v>270</v>
      </c>
      <c r="G7" s="4" t="s">
        <v>271</v>
      </c>
    </row>
    <row r="8" spans="1:7">
      <c r="A8" t="s">
        <v>20</v>
      </c>
      <c r="B8" s="2"/>
      <c r="C8" s="2"/>
      <c r="D8">
        <f>C8-B8</f>
        <v>0</v>
      </c>
      <c r="E8" s="2"/>
      <c r="F8" s="2"/>
      <c r="G8">
        <f>F8-E8</f>
        <v>0</v>
      </c>
    </row>
    <row r="9" spans="1:7">
      <c r="A9" t="s">
        <v>22</v>
      </c>
      <c r="B9" s="2"/>
      <c r="C9" s="2"/>
      <c r="D9">
        <f>C9-B9</f>
        <v>0</v>
      </c>
      <c r="E9" s="2"/>
      <c r="F9" s="2"/>
      <c r="G9">
        <f>F9-E9</f>
        <v>0</v>
      </c>
    </row>
    <row r="10" spans="1:7">
      <c r="A10" t="s">
        <v>24</v>
      </c>
      <c r="B10" s="2"/>
      <c r="C10" s="2"/>
      <c r="D10">
        <f>C10-B10</f>
        <v>0</v>
      </c>
      <c r="E10" s="2"/>
      <c r="F10" s="2"/>
      <c r="G10">
        <f>F10-E10</f>
        <v>0</v>
      </c>
    </row>
    <row r="11" spans="1:7">
      <c r="A11" t="s">
        <v>26</v>
      </c>
      <c r="B11" s="2"/>
      <c r="C11" s="2"/>
      <c r="D11">
        <f>C11-B11</f>
        <v>0</v>
      </c>
      <c r="E11" s="2"/>
      <c r="F11" s="2"/>
      <c r="G11">
        <f>F11-E11</f>
        <v>0</v>
      </c>
    </row>
    <row r="12" spans="1:7">
      <c r="A12" t="s">
        <v>28</v>
      </c>
      <c r="B12" s="2"/>
      <c r="C12" s="2"/>
      <c r="D12">
        <f>C12-B12</f>
        <v>0</v>
      </c>
      <c r="E12" s="2"/>
      <c r="F12" s="2"/>
      <c r="G12">
        <f>F12-E12</f>
        <v>0</v>
      </c>
    </row>
    <row r="13" spans="1:7">
      <c r="A13" s="5" t="s">
        <v>29</v>
      </c>
      <c r="B13" s="5">
        <f>SUM(B8:B12)</f>
        <v>0</v>
      </c>
      <c r="C13" s="5">
        <f>SUM(C8:C12)</f>
        <v>0</v>
      </c>
      <c r="D13" s="5">
        <f>SUM(D8:D12)</f>
        <v>0</v>
      </c>
      <c r="E13" s="5">
        <f>SUM(E8:E12)</f>
        <v>0</v>
      </c>
      <c r="F13" s="5">
        <f>SUM(F8:F12)</f>
        <v>0</v>
      </c>
      <c r="G13" s="5">
        <f>SUM(G8:G12)</f>
        <v>0</v>
      </c>
    </row>
    <row r="15" spans="1:7">
      <c r="A15" s="19" t="s">
        <v>272</v>
      </c>
      <c r="B15" s="16"/>
      <c r="C15" s="16"/>
      <c r="D15" s="16"/>
      <c r="E15" s="16"/>
      <c r="F15" s="16"/>
      <c r="G15" s="16"/>
    </row>
    <row r="16" spans="1:7">
      <c r="A16" s="4" t="s">
        <v>13</v>
      </c>
      <c r="B16" s="4" t="s">
        <v>268</v>
      </c>
      <c r="C16" s="4" t="s">
        <v>44</v>
      </c>
      <c r="D16" s="4" t="s">
        <v>172</v>
      </c>
    </row>
    <row r="17" spans="1:5">
      <c r="A17" t="s">
        <v>273</v>
      </c>
      <c r="B17">
        <v>10</v>
      </c>
      <c r="C17" s="2"/>
      <c r="D17">
        <f>C17-B17</f>
        <v>-10</v>
      </c>
    </row>
    <row r="18" spans="1:5">
      <c r="A18" t="s">
        <v>173</v>
      </c>
      <c r="B18">
        <v>40</v>
      </c>
      <c r="C18" s="2"/>
      <c r="D18">
        <f>C18-B18</f>
        <v>-40</v>
      </c>
    </row>
    <row r="19" spans="1:5">
      <c r="A19" t="s">
        <v>25</v>
      </c>
      <c r="B19">
        <v>15</v>
      </c>
      <c r="C19" s="2"/>
      <c r="D19">
        <f>C19-B19</f>
        <v>-15</v>
      </c>
    </row>
    <row r="20" spans="1:5">
      <c r="A20" t="s">
        <v>274</v>
      </c>
      <c r="B20">
        <v>3</v>
      </c>
      <c r="C20" s="2"/>
      <c r="D20">
        <f>C20-B20</f>
        <v>-3</v>
      </c>
    </row>
    <row r="21" spans="1:5">
      <c r="A21" t="s">
        <v>27</v>
      </c>
      <c r="B21">
        <v>3</v>
      </c>
      <c r="C21" s="2"/>
      <c r="D21">
        <f>C21-B21</f>
        <v>-3</v>
      </c>
    </row>
    <row r="22" spans="1:5">
      <c r="A22" t="s">
        <v>275</v>
      </c>
      <c r="B22">
        <v>1</v>
      </c>
      <c r="C22" s="2"/>
      <c r="D22">
        <f>C22-B22</f>
        <v>-1</v>
      </c>
    </row>
    <row r="24" spans="1:5">
      <c r="A24" s="19" t="s">
        <v>276</v>
      </c>
      <c r="B24" s="16"/>
      <c r="C24" s="16"/>
      <c r="D24" s="16"/>
    </row>
    <row r="25" spans="1:5">
      <c r="A25" t="s">
        <v>258</v>
      </c>
      <c r="B25" s="2"/>
    </row>
    <row r="26" spans="1:5">
      <c r="A26" t="s">
        <v>259</v>
      </c>
      <c r="B26" s="2"/>
    </row>
    <row r="27" spans="1:5">
      <c r="A27" t="s">
        <v>277</v>
      </c>
      <c r="B27" s="2"/>
    </row>
    <row r="28" spans="1:5">
      <c r="A28" t="s">
        <v>278</v>
      </c>
      <c r="B28" t="e">
        <f>B25/B27</f>
        <v>#DIV/0!</v>
      </c>
    </row>
    <row r="30" spans="1:5">
      <c r="A30" s="19" t="s">
        <v>279</v>
      </c>
      <c r="B30" s="16"/>
      <c r="C30" s="16"/>
      <c r="D30" s="16"/>
      <c r="E30" s="16"/>
    </row>
    <row r="31" spans="1:5">
      <c r="A31" t="s">
        <v>280</v>
      </c>
      <c r="B31" s="2"/>
    </row>
    <row r="32" spans="1:5">
      <c r="A32" t="s">
        <v>281</v>
      </c>
      <c r="B32" s="2"/>
    </row>
    <row r="33" spans="1:7">
      <c r="A33" t="s">
        <v>282</v>
      </c>
      <c r="B33">
        <f>IF(B31+B32=0,0,B31/(B31+B32)*100)</f>
        <v>0</v>
      </c>
    </row>
    <row r="35" spans="1:7">
      <c r="A35" s="19" t="s">
        <v>283</v>
      </c>
      <c r="B35" s="16"/>
      <c r="C35" s="16"/>
      <c r="D35" s="16"/>
      <c r="E35" s="16"/>
      <c r="F35" s="16"/>
      <c r="G35" s="16"/>
    </row>
    <row r="36" spans="1:7">
      <c r="A36" s="14"/>
      <c r="B36" s="16"/>
      <c r="C36" s="16"/>
      <c r="D36" s="16"/>
      <c r="E36" s="16"/>
      <c r="F36" s="16"/>
      <c r="G36" s="16"/>
    </row>
    <row r="37" spans="1:7">
      <c r="A37" s="16"/>
      <c r="B37" s="16"/>
      <c r="C37" s="16"/>
      <c r="D37" s="16"/>
      <c r="E37" s="16"/>
      <c r="F37" s="16"/>
      <c r="G37" s="16"/>
    </row>
    <row r="38" spans="1:7">
      <c r="A38" s="16"/>
      <c r="B38" s="16"/>
      <c r="C38" s="16"/>
      <c r="D38" s="16"/>
      <c r="E38" s="16"/>
      <c r="F38" s="16"/>
      <c r="G38" s="16"/>
    </row>
    <row r="40" spans="1:7">
      <c r="A40" s="19" t="s">
        <v>284</v>
      </c>
      <c r="B40" s="16"/>
      <c r="C40" s="16"/>
      <c r="D40" s="16"/>
      <c r="E40" s="16"/>
      <c r="F40" s="16"/>
      <c r="G40" s="16"/>
    </row>
    <row r="41" spans="1:7">
      <c r="A41" s="14"/>
      <c r="B41" s="16"/>
      <c r="C41" s="16"/>
      <c r="D41" s="16"/>
      <c r="E41" s="16"/>
      <c r="F41" s="16"/>
      <c r="G41" s="16"/>
    </row>
    <row r="42" spans="1:7">
      <c r="A42" s="16"/>
      <c r="B42" s="16"/>
      <c r="C42" s="16"/>
      <c r="D42" s="16"/>
      <c r="E42" s="16"/>
      <c r="F42" s="16"/>
      <c r="G42" s="16"/>
    </row>
    <row r="43" spans="1:7">
      <c r="A43" s="16"/>
      <c r="B43" s="16"/>
      <c r="C43" s="16"/>
      <c r="D43" s="16"/>
      <c r="E43" s="16"/>
      <c r="F43" s="16"/>
      <c r="G43" s="16"/>
    </row>
    <row r="45" spans="1:7">
      <c r="A45" s="19" t="s">
        <v>285</v>
      </c>
      <c r="B45" s="16"/>
      <c r="C45" s="16"/>
      <c r="D45" s="16"/>
      <c r="E45" s="16"/>
      <c r="F45" s="16"/>
      <c r="G45" s="16"/>
    </row>
    <row r="46" spans="1:7">
      <c r="A46" s="14"/>
      <c r="B46" s="16"/>
      <c r="C46" s="16"/>
      <c r="D46" s="16"/>
      <c r="E46" s="16"/>
      <c r="F46" s="16"/>
      <c r="G46" s="16"/>
    </row>
    <row r="47" spans="1:7">
      <c r="A47" s="16"/>
      <c r="B47" s="16"/>
      <c r="C47" s="16"/>
      <c r="D47" s="16"/>
      <c r="E47" s="16"/>
      <c r="F47" s="16"/>
      <c r="G47" s="16"/>
    </row>
    <row r="48" spans="1:7">
      <c r="A48" s="16"/>
      <c r="B48" s="16"/>
      <c r="C48" s="16"/>
      <c r="D48" s="16"/>
      <c r="E48" s="16"/>
      <c r="F48" s="16"/>
      <c r="G48" s="16"/>
    </row>
  </sheetData>
  <mergeCells count="11">
    <mergeCell ref="A46:G48"/>
    <mergeCell ref="A41:G43"/>
    <mergeCell ref="A30:E30"/>
    <mergeCell ref="A1:G1"/>
    <mergeCell ref="A36:G38"/>
    <mergeCell ref="A40:G40"/>
    <mergeCell ref="A45:G45"/>
    <mergeCell ref="A6:G6"/>
    <mergeCell ref="A35:G35"/>
    <mergeCell ref="A24:D24"/>
    <mergeCell ref="A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8"/>
  <sheetViews>
    <sheetView workbookViewId="0"/>
  </sheetViews>
  <sheetFormatPr defaultRowHeight="15"/>
  <cols>
    <col min="1" max="1" width="30" customWidth="1"/>
    <col min="2" max="13" width="10" customWidth="1"/>
  </cols>
  <sheetData>
    <row r="1" spans="1:13">
      <c r="A1" s="18" t="s">
        <v>286</v>
      </c>
      <c r="B1" s="16"/>
      <c r="C1" s="16"/>
      <c r="D1" s="16"/>
      <c r="E1" s="16"/>
      <c r="F1" s="16"/>
    </row>
    <row r="3" spans="1:13">
      <c r="A3" s="19" t="s">
        <v>287</v>
      </c>
      <c r="B3" s="16"/>
      <c r="C3" s="16"/>
      <c r="D3" s="16"/>
      <c r="E3" s="16"/>
      <c r="F3" s="16"/>
    </row>
    <row r="4" spans="1:13">
      <c r="A4" s="4" t="s">
        <v>288</v>
      </c>
      <c r="B4" s="4" t="s">
        <v>14</v>
      </c>
      <c r="C4" s="4" t="s">
        <v>15</v>
      </c>
      <c r="D4" s="4" t="s">
        <v>179</v>
      </c>
      <c r="E4" s="4" t="s">
        <v>289</v>
      </c>
      <c r="F4" s="4" t="s">
        <v>182</v>
      </c>
    </row>
    <row r="5" spans="1:13">
      <c r="A5" t="s">
        <v>290</v>
      </c>
      <c r="B5">
        <v>0.2</v>
      </c>
      <c r="C5" s="2"/>
      <c r="D5">
        <v>0.4</v>
      </c>
      <c r="E5" s="2"/>
      <c r="F5">
        <v>1.4</v>
      </c>
    </row>
    <row r="6" spans="1:13">
      <c r="A6" t="s">
        <v>21</v>
      </c>
      <c r="B6">
        <v>10</v>
      </c>
      <c r="C6" s="2"/>
      <c r="D6">
        <v>10</v>
      </c>
      <c r="E6" s="2"/>
      <c r="F6">
        <v>30</v>
      </c>
    </row>
    <row r="7" spans="1:13">
      <c r="A7" t="s">
        <v>173</v>
      </c>
      <c r="B7">
        <v>60</v>
      </c>
      <c r="C7" s="2"/>
      <c r="D7">
        <v>120</v>
      </c>
      <c r="E7" s="2"/>
      <c r="F7">
        <v>480</v>
      </c>
    </row>
    <row r="8" spans="1:13">
      <c r="A8" t="s">
        <v>25</v>
      </c>
      <c r="B8">
        <v>15</v>
      </c>
      <c r="C8" s="2"/>
      <c r="D8">
        <v>45</v>
      </c>
      <c r="E8" s="2"/>
      <c r="F8">
        <v>180</v>
      </c>
    </row>
    <row r="9" spans="1:13">
      <c r="A9" t="s">
        <v>27</v>
      </c>
      <c r="B9">
        <v>2</v>
      </c>
      <c r="C9" s="2"/>
      <c r="D9">
        <v>10</v>
      </c>
      <c r="E9" s="2"/>
      <c r="F9">
        <v>35</v>
      </c>
    </row>
    <row r="10" spans="1:13">
      <c r="A10" t="s">
        <v>291</v>
      </c>
      <c r="B10">
        <v>1.5</v>
      </c>
      <c r="C10" s="2"/>
      <c r="D10">
        <v>2</v>
      </c>
      <c r="E10" s="2"/>
      <c r="F10">
        <v>2.5</v>
      </c>
    </row>
    <row r="11" spans="1:13">
      <c r="A11" t="s">
        <v>292</v>
      </c>
      <c r="B11">
        <v>2</v>
      </c>
      <c r="C11" s="2"/>
      <c r="D11">
        <v>3</v>
      </c>
      <c r="E11" s="2"/>
      <c r="F11">
        <v>5</v>
      </c>
    </row>
    <row r="12" spans="1:13">
      <c r="A12" t="s">
        <v>293</v>
      </c>
      <c r="B12">
        <v>2</v>
      </c>
      <c r="C12" s="2"/>
      <c r="D12">
        <v>6</v>
      </c>
      <c r="E12" s="2"/>
      <c r="F12">
        <v>24</v>
      </c>
    </row>
    <row r="15" spans="1:13">
      <c r="A15" s="19" t="s">
        <v>294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>
      <c r="A16" s="4" t="s">
        <v>252</v>
      </c>
      <c r="B16" s="4" t="s">
        <v>189</v>
      </c>
      <c r="C16" s="4" t="s">
        <v>190</v>
      </c>
      <c r="D16" s="4" t="s">
        <v>191</v>
      </c>
      <c r="E16" s="4" t="s">
        <v>192</v>
      </c>
      <c r="F16" s="4" t="s">
        <v>193</v>
      </c>
      <c r="G16" s="4" t="s">
        <v>194</v>
      </c>
      <c r="H16" s="4" t="s">
        <v>195</v>
      </c>
      <c r="I16" s="4" t="s">
        <v>196</v>
      </c>
      <c r="J16" s="4" t="s">
        <v>197</v>
      </c>
      <c r="K16" s="4" t="s">
        <v>198</v>
      </c>
      <c r="L16" s="4" t="s">
        <v>199</v>
      </c>
      <c r="M16" s="4" t="s">
        <v>200</v>
      </c>
    </row>
    <row r="17" spans="1:13">
      <c r="A17" t="s">
        <v>23</v>
      </c>
      <c r="B17" s="2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t="s">
        <v>295</v>
      </c>
      <c r="B18" s="2">
        <v>30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t="s">
        <v>296</v>
      </c>
      <c r="B19" s="2">
        <v>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t="s">
        <v>297</v>
      </c>
      <c r="B20" s="2">
        <v>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3" spans="1:13">
      <c r="A23" s="19" t="s">
        <v>298</v>
      </c>
      <c r="B23" s="16"/>
      <c r="C23" s="16"/>
      <c r="D23" s="16"/>
    </row>
    <row r="24" spans="1:13">
      <c r="A24" t="s">
        <v>299</v>
      </c>
      <c r="B24">
        <f>Dashboard!C13/Dashboard!B13*100</f>
        <v>0</v>
      </c>
    </row>
    <row r="25" spans="1:13">
      <c r="A25" t="s">
        <v>300</v>
      </c>
      <c r="B25" s="2"/>
    </row>
    <row r="26" spans="1:13">
      <c r="A26" t="s">
        <v>301</v>
      </c>
      <c r="B26" s="2"/>
    </row>
    <row r="27" spans="1:13">
      <c r="A27" t="s">
        <v>302</v>
      </c>
      <c r="B27" s="2"/>
    </row>
    <row r="28" spans="1:13">
      <c r="A28" t="s">
        <v>303</v>
      </c>
      <c r="B28" s="2"/>
    </row>
  </sheetData>
  <mergeCells count="4">
    <mergeCell ref="A3:F3"/>
    <mergeCell ref="A23:D23"/>
    <mergeCell ref="A1:F1"/>
    <mergeCell ref="A15:M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2026-03-11T05:05:54Z</dcterms:created>
  <dcterms:modified xsi:type="dcterms:W3CDTF">2026-06-19T05:02:22Z</dcterms:modified>
  <cp:category/>
  <cp:contentStatus/>
</cp:coreProperties>
</file>